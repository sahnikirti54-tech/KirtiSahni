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atLab\Downloads\SANA\"/>
    </mc:Choice>
  </mc:AlternateContent>
  <xr:revisionPtr revIDLastSave="0" documentId="13_ncr:1_{33665426-1E1F-4758-B893-FD6A158B23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 Data" sheetId="1" r:id="rId1"/>
    <sheet name="Sheet1" sheetId="2" r:id="rId2"/>
  </sheets>
  <definedNames>
    <definedName name="_xlnm._FilterDatabase" localSheetId="0" hidden="1">'Employee Data'!$A$1:$AC$595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O8" i="1"/>
  <c r="O6" i="1"/>
  <c r="M28" i="1"/>
  <c r="M27" i="1"/>
  <c r="M26" i="1"/>
  <c r="M24" i="1"/>
  <c r="M23" i="1"/>
  <c r="M20" i="1"/>
  <c r="M18" i="1" s="1"/>
  <c r="M19" i="1"/>
  <c r="M16" i="1"/>
  <c r="M14" i="1"/>
  <c r="M11" i="1"/>
  <c r="M8" i="1"/>
  <c r="M6" i="1"/>
  <c r="N5" i="1"/>
  <c r="N4" i="1"/>
  <c r="L1" i="1"/>
  <c r="K115" i="1"/>
  <c r="K226" i="1"/>
  <c r="K238" i="1"/>
  <c r="K249" i="1"/>
  <c r="K260" i="1"/>
  <c r="K271" i="1"/>
  <c r="K282" i="1"/>
  <c r="K293" i="1"/>
  <c r="K5" i="1"/>
  <c r="K16" i="1"/>
  <c r="K27" i="1"/>
  <c r="K38" i="1"/>
  <c r="K49" i="1"/>
  <c r="K60" i="1"/>
  <c r="K71" i="1"/>
  <c r="K82" i="1"/>
  <c r="K93" i="1"/>
  <c r="K104" i="1"/>
  <c r="K116" i="1"/>
  <c r="K127" i="1"/>
  <c r="K138" i="1"/>
  <c r="K149" i="1"/>
  <c r="K160" i="1"/>
  <c r="K171" i="1"/>
  <c r="K182" i="1"/>
  <c r="K193" i="1"/>
  <c r="K204" i="1"/>
  <c r="K215" i="1"/>
  <c r="K227" i="1"/>
  <c r="K229" i="1"/>
  <c r="K230" i="1"/>
  <c r="K231" i="1"/>
  <c r="K232" i="1"/>
  <c r="K233" i="1"/>
  <c r="K234" i="1"/>
  <c r="K235" i="1"/>
  <c r="K236" i="1"/>
  <c r="K237" i="1"/>
  <c r="K239" i="1"/>
  <c r="K240" i="1"/>
  <c r="K241" i="1"/>
  <c r="K242" i="1"/>
  <c r="K243" i="1"/>
  <c r="K244" i="1"/>
  <c r="K245" i="1"/>
  <c r="K246" i="1"/>
  <c r="K247" i="1"/>
  <c r="K248" i="1"/>
  <c r="K250" i="1"/>
  <c r="K251" i="1"/>
  <c r="K252" i="1"/>
  <c r="K253" i="1"/>
  <c r="K254" i="1"/>
  <c r="K255" i="1"/>
  <c r="K256" i="1"/>
  <c r="K257" i="1"/>
  <c r="K258" i="1"/>
  <c r="K259" i="1"/>
  <c r="K261" i="1"/>
  <c r="K262" i="1"/>
  <c r="K263" i="1"/>
  <c r="K264" i="1"/>
  <c r="K265" i="1"/>
  <c r="K266" i="1"/>
  <c r="K267" i="1"/>
  <c r="K268" i="1"/>
  <c r="K269" i="1"/>
  <c r="K270" i="1"/>
  <c r="K272" i="1"/>
  <c r="K273" i="1"/>
  <c r="K274" i="1"/>
  <c r="K275" i="1"/>
  <c r="K276" i="1"/>
  <c r="K277" i="1"/>
  <c r="K278" i="1"/>
  <c r="K279" i="1"/>
  <c r="K280" i="1"/>
  <c r="K281" i="1"/>
  <c r="K283" i="1"/>
  <c r="K284" i="1"/>
  <c r="K285" i="1"/>
  <c r="K286" i="1"/>
  <c r="K287" i="1"/>
  <c r="K288" i="1"/>
  <c r="K289" i="1"/>
  <c r="K290" i="1"/>
  <c r="K291" i="1"/>
  <c r="K292" i="1"/>
  <c r="K294" i="1"/>
  <c r="K295" i="1"/>
  <c r="K296" i="1"/>
  <c r="K297" i="1"/>
  <c r="K298" i="1"/>
  <c r="K299" i="1"/>
  <c r="K300" i="1"/>
  <c r="K301" i="1"/>
  <c r="K302" i="1"/>
  <c r="K303" i="1"/>
  <c r="K6" i="1"/>
  <c r="K7" i="1"/>
  <c r="K8" i="1"/>
  <c r="K9" i="1"/>
  <c r="K10" i="1"/>
  <c r="K11" i="1"/>
  <c r="K12" i="1"/>
  <c r="K14" i="1"/>
  <c r="K15" i="1"/>
  <c r="K17" i="1"/>
  <c r="K18" i="1"/>
  <c r="K19" i="1"/>
  <c r="K20" i="1"/>
  <c r="K21" i="1"/>
  <c r="K22" i="1"/>
  <c r="K23" i="1"/>
  <c r="K24" i="1"/>
  <c r="K25" i="1"/>
  <c r="K26" i="1"/>
  <c r="K28" i="1"/>
  <c r="K29" i="1"/>
  <c r="K30" i="1"/>
  <c r="K31" i="1"/>
  <c r="K32" i="1"/>
  <c r="K33" i="1"/>
  <c r="K34" i="1"/>
  <c r="K35" i="1"/>
  <c r="K36" i="1"/>
  <c r="K37" i="1"/>
  <c r="K39" i="1"/>
  <c r="K40" i="1"/>
  <c r="K41" i="1"/>
  <c r="K42" i="1"/>
  <c r="K43" i="1"/>
  <c r="K44" i="1"/>
  <c r="K45" i="1"/>
  <c r="K46" i="1"/>
  <c r="K47" i="1"/>
  <c r="K48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70" i="1"/>
  <c r="K72" i="1"/>
  <c r="K73" i="1"/>
  <c r="K74" i="1"/>
  <c r="K75" i="1"/>
  <c r="K76" i="1"/>
  <c r="K77" i="1"/>
  <c r="K78" i="1"/>
  <c r="K79" i="1"/>
  <c r="K80" i="1"/>
  <c r="K81" i="1"/>
  <c r="K83" i="1"/>
  <c r="K84" i="1"/>
  <c r="K85" i="1"/>
  <c r="K86" i="1"/>
  <c r="K87" i="1"/>
  <c r="K88" i="1"/>
  <c r="K89" i="1"/>
  <c r="K90" i="1"/>
  <c r="K91" i="1"/>
  <c r="K92" i="1"/>
  <c r="K94" i="1"/>
  <c r="K95" i="1"/>
  <c r="K96" i="1"/>
  <c r="K97" i="1"/>
  <c r="K98" i="1"/>
  <c r="K99" i="1"/>
  <c r="K100" i="1"/>
  <c r="K101" i="1"/>
  <c r="K102" i="1"/>
  <c r="K103" i="1"/>
  <c r="K105" i="1"/>
  <c r="K106" i="1"/>
  <c r="K107" i="1"/>
  <c r="K108" i="1"/>
  <c r="K109" i="1"/>
  <c r="K110" i="1"/>
  <c r="K111" i="1"/>
  <c r="K112" i="1"/>
  <c r="K113" i="1"/>
  <c r="K114" i="1"/>
  <c r="K117" i="1"/>
  <c r="K118" i="1"/>
  <c r="K119" i="1"/>
  <c r="K120" i="1"/>
  <c r="K121" i="1"/>
  <c r="K122" i="1"/>
  <c r="K123" i="1"/>
  <c r="K124" i="1"/>
  <c r="K125" i="1"/>
  <c r="K126" i="1"/>
  <c r="K128" i="1"/>
  <c r="K129" i="1"/>
  <c r="K130" i="1"/>
  <c r="K131" i="1"/>
  <c r="K132" i="1"/>
  <c r="K133" i="1"/>
  <c r="K134" i="1"/>
  <c r="K135" i="1"/>
  <c r="K136" i="1"/>
  <c r="K137" i="1"/>
  <c r="K139" i="1"/>
  <c r="K140" i="1"/>
  <c r="K141" i="1"/>
  <c r="K142" i="1"/>
  <c r="K143" i="1"/>
  <c r="K144" i="1"/>
  <c r="K145" i="1"/>
  <c r="K146" i="1"/>
  <c r="K147" i="1"/>
  <c r="K148" i="1"/>
  <c r="K150" i="1"/>
  <c r="K151" i="1"/>
  <c r="K152" i="1"/>
  <c r="K153" i="1"/>
  <c r="K154" i="1"/>
  <c r="K155" i="1"/>
  <c r="K156" i="1"/>
  <c r="K157" i="1"/>
  <c r="K158" i="1"/>
  <c r="K159" i="1"/>
  <c r="K161" i="1"/>
  <c r="K162" i="1"/>
  <c r="K163" i="1"/>
  <c r="K164" i="1"/>
  <c r="K165" i="1"/>
  <c r="K166" i="1"/>
  <c r="K167" i="1"/>
  <c r="K168" i="1"/>
  <c r="K169" i="1"/>
  <c r="K170" i="1"/>
  <c r="K172" i="1"/>
  <c r="K173" i="1"/>
  <c r="K174" i="1"/>
  <c r="K175" i="1"/>
  <c r="K176" i="1"/>
  <c r="K177" i="1"/>
  <c r="K178" i="1"/>
  <c r="K179" i="1"/>
  <c r="K180" i="1"/>
  <c r="K181" i="1"/>
  <c r="K183" i="1"/>
  <c r="K184" i="1"/>
  <c r="K185" i="1"/>
  <c r="K186" i="1"/>
  <c r="K187" i="1"/>
  <c r="K188" i="1"/>
  <c r="K189" i="1"/>
  <c r="K190" i="1"/>
  <c r="K191" i="1"/>
  <c r="K192" i="1"/>
  <c r="K194" i="1"/>
  <c r="K195" i="1"/>
  <c r="K196" i="1"/>
  <c r="K197" i="1"/>
  <c r="K198" i="1"/>
  <c r="K199" i="1"/>
  <c r="K200" i="1"/>
  <c r="K201" i="1"/>
  <c r="K202" i="1"/>
  <c r="K203" i="1"/>
  <c r="K205" i="1"/>
  <c r="K206" i="1"/>
  <c r="K207" i="1"/>
  <c r="K208" i="1"/>
  <c r="K209" i="1"/>
  <c r="K210" i="1"/>
  <c r="K211" i="1"/>
  <c r="K212" i="1"/>
  <c r="K213" i="1"/>
  <c r="K214" i="1"/>
  <c r="K216" i="1"/>
  <c r="K217" i="1"/>
  <c r="K218" i="1"/>
  <c r="K219" i="1"/>
  <c r="K220" i="1"/>
  <c r="K221" i="1"/>
  <c r="K222" i="1"/>
  <c r="K223" i="1"/>
  <c r="K224" i="1"/>
  <c r="K225" i="1"/>
  <c r="K228" i="1"/>
  <c r="K4" i="1" l="1"/>
  <c r="K13" i="1" l="1"/>
  <c r="O298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<sst xmlns="http://schemas.openxmlformats.org/spreadsheetml/2006/main" count="1815" uniqueCount="911">
  <si>
    <t>Emp ID</t>
  </si>
  <si>
    <t>Employee Name</t>
  </si>
  <si>
    <t>Department</t>
  </si>
  <si>
    <t>City</t>
  </si>
  <si>
    <t>Joining Date</t>
  </si>
  <si>
    <t>Monthly Sales (₹)</t>
  </si>
  <si>
    <t>Target (₹)</t>
  </si>
  <si>
    <t>Attendance (%)</t>
  </si>
  <si>
    <t>Performance</t>
  </si>
  <si>
    <t>Bonus (₹)</t>
  </si>
  <si>
    <t>E001</t>
  </si>
  <si>
    <t>Employee_1</t>
  </si>
  <si>
    <t>Sales</t>
  </si>
  <si>
    <t>Anand</t>
  </si>
  <si>
    <t>01-Apr-2021</t>
  </si>
  <si>
    <t>Excellent</t>
  </si>
  <si>
    <t>E002</t>
  </si>
  <si>
    <t>Employee_2</t>
  </si>
  <si>
    <t>Marketing</t>
  </si>
  <si>
    <t>24-Sep-2024</t>
  </si>
  <si>
    <t>E003</t>
  </si>
  <si>
    <t>Employee_3</t>
  </si>
  <si>
    <t>Surat</t>
  </si>
  <si>
    <t>17-Apr-2026</t>
  </si>
  <si>
    <t>E004</t>
  </si>
  <si>
    <t>Employee_4</t>
  </si>
  <si>
    <t>Finance</t>
  </si>
  <si>
    <t>Vadodara</t>
  </si>
  <si>
    <t>15-Oct-2021</t>
  </si>
  <si>
    <t>E005</t>
  </si>
  <si>
    <t>Employee_5</t>
  </si>
  <si>
    <t>05-Apr-2024</t>
  </si>
  <si>
    <t>Average</t>
  </si>
  <si>
    <t>E006</t>
  </si>
  <si>
    <t>Employee_6</t>
  </si>
  <si>
    <t>24-Feb-2025</t>
  </si>
  <si>
    <t>Good</t>
  </si>
  <si>
    <t>E007</t>
  </si>
  <si>
    <t>Employee_7</t>
  </si>
  <si>
    <t>HR</t>
  </si>
  <si>
    <t>21-Jan-2024</t>
  </si>
  <si>
    <t>E008</t>
  </si>
  <si>
    <t>Employee_8</t>
  </si>
  <si>
    <t>Ahmedabad</t>
  </si>
  <si>
    <t>11-Aug-2022</t>
  </si>
  <si>
    <t>E009</t>
  </si>
  <si>
    <t>Employee_9</t>
  </si>
  <si>
    <t>26-Dec-2023</t>
  </si>
  <si>
    <t>E010</t>
  </si>
  <si>
    <t>Employee_10</t>
  </si>
  <si>
    <t>01-Dec-2021</t>
  </si>
  <si>
    <t>E011</t>
  </si>
  <si>
    <t>Employee_11</t>
  </si>
  <si>
    <t>Rajkot</t>
  </si>
  <si>
    <t>21-Aug-2023</t>
  </si>
  <si>
    <t>E012</t>
  </si>
  <si>
    <t>Employee_12</t>
  </si>
  <si>
    <t>28-Sep-2020</t>
  </si>
  <si>
    <t>E013</t>
  </si>
  <si>
    <t>Employee_13</t>
  </si>
  <si>
    <t>22-Feb-2025</t>
  </si>
  <si>
    <t>E014</t>
  </si>
  <si>
    <t>Employee_14</t>
  </si>
  <si>
    <t>22-Jul-2026</t>
  </si>
  <si>
    <t>E015</t>
  </si>
  <si>
    <t>Employee_15</t>
  </si>
  <si>
    <t>IT</t>
  </si>
  <si>
    <t>07-Jan-2021</t>
  </si>
  <si>
    <t>E016</t>
  </si>
  <si>
    <t>Employee_16</t>
  </si>
  <si>
    <t>25-Apr-2024</t>
  </si>
  <si>
    <t>E017</t>
  </si>
  <si>
    <t>Employee_17</t>
  </si>
  <si>
    <t>14-Apr-2021</t>
  </si>
  <si>
    <t>E018</t>
  </si>
  <si>
    <t>Employee_18</t>
  </si>
  <si>
    <t>09-Oct-2021</t>
  </si>
  <si>
    <t>E019</t>
  </si>
  <si>
    <t>Employee_19</t>
  </si>
  <si>
    <t>10-Sep-2025</t>
  </si>
  <si>
    <t>E020</t>
  </si>
  <si>
    <t>Employee_20</t>
  </si>
  <si>
    <t>11-Mar-2024</t>
  </si>
  <si>
    <t>E021</t>
  </si>
  <si>
    <t>Employee_21</t>
  </si>
  <si>
    <t>24-Jun-2025</t>
  </si>
  <si>
    <t>E022</t>
  </si>
  <si>
    <t>Employee_22</t>
  </si>
  <si>
    <t>13-Sep-2022</t>
  </si>
  <si>
    <t>E023</t>
  </si>
  <si>
    <t>Employee_23</t>
  </si>
  <si>
    <t>09-Jun-2021</t>
  </si>
  <si>
    <t>E024</t>
  </si>
  <si>
    <t>Employee_24</t>
  </si>
  <si>
    <t>17-Jan-2026</t>
  </si>
  <si>
    <t>E025</t>
  </si>
  <si>
    <t>Employee_25</t>
  </si>
  <si>
    <t>23-Jan-2025</t>
  </si>
  <si>
    <t>E026</t>
  </si>
  <si>
    <t>Employee_26</t>
  </si>
  <si>
    <t>31-Jul-2022</t>
  </si>
  <si>
    <t>E027</t>
  </si>
  <si>
    <t>Employee_27</t>
  </si>
  <si>
    <t>08-May-2020</t>
  </si>
  <si>
    <t>E028</t>
  </si>
  <si>
    <t>Employee_28</t>
  </si>
  <si>
    <t>25-Jun-2021</t>
  </si>
  <si>
    <t>E029</t>
  </si>
  <si>
    <t>Employee_29</t>
  </si>
  <si>
    <t>21-Jan-2021</t>
  </si>
  <si>
    <t>E030</t>
  </si>
  <si>
    <t>Employee_30</t>
  </si>
  <si>
    <t>07-Feb-2021</t>
  </si>
  <si>
    <t>E031</t>
  </si>
  <si>
    <t>Employee_31</t>
  </si>
  <si>
    <t>18-Feb-2022</t>
  </si>
  <si>
    <t>E032</t>
  </si>
  <si>
    <t>Employee_32</t>
  </si>
  <si>
    <t>04-Nov-2020</t>
  </si>
  <si>
    <t>E033</t>
  </si>
  <si>
    <t>Employee_33</t>
  </si>
  <si>
    <t>26-Aug-2022</t>
  </si>
  <si>
    <t>E034</t>
  </si>
  <si>
    <t>Employee_34</t>
  </si>
  <si>
    <t>01-Apr-2024</t>
  </si>
  <si>
    <t>E035</t>
  </si>
  <si>
    <t>Employee_35</t>
  </si>
  <si>
    <t>26-Mar-2026</t>
  </si>
  <si>
    <t>E036</t>
  </si>
  <si>
    <t>Employee_36</t>
  </si>
  <si>
    <t>29-Jan-2026</t>
  </si>
  <si>
    <t>E037</t>
  </si>
  <si>
    <t>Employee_37</t>
  </si>
  <si>
    <t>06-Oct-2021</t>
  </si>
  <si>
    <t>E038</t>
  </si>
  <si>
    <t>Employee_38</t>
  </si>
  <si>
    <t>21-Aug-2022</t>
  </si>
  <si>
    <t>E039</t>
  </si>
  <si>
    <t>Employee_39</t>
  </si>
  <si>
    <t>11-Jun-2020</t>
  </si>
  <si>
    <t>E040</t>
  </si>
  <si>
    <t>Employee_40</t>
  </si>
  <si>
    <t>04-Dec-2022</t>
  </si>
  <si>
    <t>E041</t>
  </si>
  <si>
    <t>Employee_41</t>
  </si>
  <si>
    <t>19-Jul-2023</t>
  </si>
  <si>
    <t>E042</t>
  </si>
  <si>
    <t>Employee_42</t>
  </si>
  <si>
    <t>23-May-2022</t>
  </si>
  <si>
    <t>E043</t>
  </si>
  <si>
    <t>Employee_43</t>
  </si>
  <si>
    <t>13-Mar-2023</t>
  </si>
  <si>
    <t>E044</t>
  </si>
  <si>
    <t>Employee_44</t>
  </si>
  <si>
    <t>06-Dec-2025</t>
  </si>
  <si>
    <t>E045</t>
  </si>
  <si>
    <t>Employee_45</t>
  </si>
  <si>
    <t>17-Apr-2021</t>
  </si>
  <si>
    <t>E046</t>
  </si>
  <si>
    <t>Employee_46</t>
  </si>
  <si>
    <t>05-Nov-2023</t>
  </si>
  <si>
    <t>E047</t>
  </si>
  <si>
    <t>Employee_47</t>
  </si>
  <si>
    <t>30-Sep-2024</t>
  </si>
  <si>
    <t>E048</t>
  </si>
  <si>
    <t>Employee_48</t>
  </si>
  <si>
    <t>14-Dec-2024</t>
  </si>
  <si>
    <t>E049</t>
  </si>
  <si>
    <t>Employee_49</t>
  </si>
  <si>
    <t>27-May-2020</t>
  </si>
  <si>
    <t>E050</t>
  </si>
  <si>
    <t>Employee_50</t>
  </si>
  <si>
    <t>02-Feb-2024</t>
  </si>
  <si>
    <t>E051</t>
  </si>
  <si>
    <t>Employee_51</t>
  </si>
  <si>
    <t>22-Jul-2024</t>
  </si>
  <si>
    <t>E052</t>
  </si>
  <si>
    <t>Employee_52</t>
  </si>
  <si>
    <t>11-Apr-2020</t>
  </si>
  <si>
    <t>E053</t>
  </si>
  <si>
    <t>Employee_53</t>
  </si>
  <si>
    <t>18-Mar-2021</t>
  </si>
  <si>
    <t>E054</t>
  </si>
  <si>
    <t>Employee_54</t>
  </si>
  <si>
    <t>04-Jun-2023</t>
  </si>
  <si>
    <t>E055</t>
  </si>
  <si>
    <t>Employee_55</t>
  </si>
  <si>
    <t>11-Oct-2020</t>
  </si>
  <si>
    <t>E056</t>
  </si>
  <si>
    <t>Employee_56</t>
  </si>
  <si>
    <t>E057</t>
  </si>
  <si>
    <t>Employee_57</t>
  </si>
  <si>
    <t>14-Nov-2024</t>
  </si>
  <si>
    <t>E058</t>
  </si>
  <si>
    <t>Employee_58</t>
  </si>
  <si>
    <t>17-Feb-2022</t>
  </si>
  <si>
    <t>E059</t>
  </si>
  <si>
    <t>Employee_59</t>
  </si>
  <si>
    <t>18-Mar-2022</t>
  </si>
  <si>
    <t>E060</t>
  </si>
  <si>
    <t>Employee_60</t>
  </si>
  <si>
    <t>25-May-2021</t>
  </si>
  <si>
    <t>E061</t>
  </si>
  <si>
    <t>Employee_61</t>
  </si>
  <si>
    <t>26-Apr-2023</t>
  </si>
  <si>
    <t>E062</t>
  </si>
  <si>
    <t>Employee_62</t>
  </si>
  <si>
    <t>20-May-2026</t>
  </si>
  <si>
    <t>E063</t>
  </si>
  <si>
    <t>Employee_63</t>
  </si>
  <si>
    <t>26-Oct-2024</t>
  </si>
  <si>
    <t>E064</t>
  </si>
  <si>
    <t>Employee_64</t>
  </si>
  <si>
    <t>25-May-2022</t>
  </si>
  <si>
    <t>E065</t>
  </si>
  <si>
    <t>Employee_65</t>
  </si>
  <si>
    <t>12-Oct-2025</t>
  </si>
  <si>
    <t>E066</t>
  </si>
  <si>
    <t>Employee_66</t>
  </si>
  <si>
    <t>26-Mar-2022</t>
  </si>
  <si>
    <t>E067</t>
  </si>
  <si>
    <t>Employee_67</t>
  </si>
  <si>
    <t>24-Aug-2024</t>
  </si>
  <si>
    <t>E068</t>
  </si>
  <si>
    <t>Employee_68</t>
  </si>
  <si>
    <t>26-Sep-2022</t>
  </si>
  <si>
    <t>E069</t>
  </si>
  <si>
    <t>Employee_69</t>
  </si>
  <si>
    <t>21-Dec-2021</t>
  </si>
  <si>
    <t>E070</t>
  </si>
  <si>
    <t>Employee_70</t>
  </si>
  <si>
    <t>18-Mar-2025</t>
  </si>
  <si>
    <t>E071</t>
  </si>
  <si>
    <t>Employee_71</t>
  </si>
  <si>
    <t>29-Aug-2025</t>
  </si>
  <si>
    <t>E072</t>
  </si>
  <si>
    <t>Employee_72</t>
  </si>
  <si>
    <t>09-Oct-2022</t>
  </si>
  <si>
    <t>E073</t>
  </si>
  <si>
    <t>Employee_73</t>
  </si>
  <si>
    <t>06-Dec-2024</t>
  </si>
  <si>
    <t>E074</t>
  </si>
  <si>
    <t>Employee_74</t>
  </si>
  <si>
    <t>20-Jul-2021</t>
  </si>
  <si>
    <t>E075</t>
  </si>
  <si>
    <t>Employee_75</t>
  </si>
  <si>
    <t>27-Jul-2024</t>
  </si>
  <si>
    <t>E076</t>
  </si>
  <si>
    <t>Employee_76</t>
  </si>
  <si>
    <t>20-Jul-2026</t>
  </si>
  <si>
    <t>E077</t>
  </si>
  <si>
    <t>Employee_77</t>
  </si>
  <si>
    <t>12-Sep-2024</t>
  </si>
  <si>
    <t>E078</t>
  </si>
  <si>
    <t>Employee_78</t>
  </si>
  <si>
    <t>20-Nov-2024</t>
  </si>
  <si>
    <t>E079</t>
  </si>
  <si>
    <t>Employee_79</t>
  </si>
  <si>
    <t>06-Jun-2021</t>
  </si>
  <si>
    <t>E080</t>
  </si>
  <si>
    <t>Employee_80</t>
  </si>
  <si>
    <t>21-Apr-2020</t>
  </si>
  <si>
    <t>E081</t>
  </si>
  <si>
    <t>Employee_81</t>
  </si>
  <si>
    <t>E082</t>
  </si>
  <si>
    <t>Employee_82</t>
  </si>
  <si>
    <t>30-Oct-2022</t>
  </si>
  <si>
    <t>E083</t>
  </si>
  <si>
    <t>Employee_83</t>
  </si>
  <si>
    <t>08-Oct-2020</t>
  </si>
  <si>
    <t>E084</t>
  </si>
  <si>
    <t>Employee_84</t>
  </si>
  <si>
    <t>04-Sep-2022</t>
  </si>
  <si>
    <t>E085</t>
  </si>
  <si>
    <t>Employee_85</t>
  </si>
  <si>
    <t>15-Nov-2022</t>
  </si>
  <si>
    <t>E086</t>
  </si>
  <si>
    <t>Employee_86</t>
  </si>
  <si>
    <t>E087</t>
  </si>
  <si>
    <t>Employee_87</t>
  </si>
  <si>
    <t>23-Mar-2022</t>
  </si>
  <si>
    <t>E088</t>
  </si>
  <si>
    <t>Employee_88</t>
  </si>
  <si>
    <t>20-May-2023</t>
  </si>
  <si>
    <t>E089</t>
  </si>
  <si>
    <t>Employee_89</t>
  </si>
  <si>
    <t>20-Oct-2024</t>
  </si>
  <si>
    <t>E090</t>
  </si>
  <si>
    <t>Employee_90</t>
  </si>
  <si>
    <t>08-Mar-2021</t>
  </si>
  <si>
    <t>E091</t>
  </si>
  <si>
    <t>Employee_91</t>
  </si>
  <si>
    <t>22-Dec-2021</t>
  </si>
  <si>
    <t>E092</t>
  </si>
  <si>
    <t>Employee_92</t>
  </si>
  <si>
    <t>04-Jan-2023</t>
  </si>
  <si>
    <t>E093</t>
  </si>
  <si>
    <t>Employee_93</t>
  </si>
  <si>
    <t>E094</t>
  </si>
  <si>
    <t>Employee_94</t>
  </si>
  <si>
    <t>14-Jan-2022</t>
  </si>
  <si>
    <t>E095</t>
  </si>
  <si>
    <t>Employee_95</t>
  </si>
  <si>
    <t>05-Feb-2023</t>
  </si>
  <si>
    <t>E096</t>
  </si>
  <si>
    <t>Employee_96</t>
  </si>
  <si>
    <t>E097</t>
  </si>
  <si>
    <t>Employee_97</t>
  </si>
  <si>
    <t>11-Mar-2020</t>
  </si>
  <si>
    <t>E098</t>
  </si>
  <si>
    <t>Employee_98</t>
  </si>
  <si>
    <t>10-Jul-2026</t>
  </si>
  <si>
    <t>E099</t>
  </si>
  <si>
    <t>Employee_99</t>
  </si>
  <si>
    <t>12-Dec-2023</t>
  </si>
  <si>
    <t>E100</t>
  </si>
  <si>
    <t>Employee_100</t>
  </si>
  <si>
    <t>04-May-2021</t>
  </si>
  <si>
    <t>E101</t>
  </si>
  <si>
    <t>Employee_101</t>
  </si>
  <si>
    <t>18-Nov-2025</t>
  </si>
  <si>
    <t>E102</t>
  </si>
  <si>
    <t>Employee_102</t>
  </si>
  <si>
    <t>18-Jan-2024</t>
  </si>
  <si>
    <t>E103</t>
  </si>
  <si>
    <t>Employee_103</t>
  </si>
  <si>
    <t>11-Aug-2020</t>
  </si>
  <si>
    <t>E104</t>
  </si>
  <si>
    <t>Employee_104</t>
  </si>
  <si>
    <t>09-Jun-2026</t>
  </si>
  <si>
    <t>E105</t>
  </si>
  <si>
    <t>Employee_105</t>
  </si>
  <si>
    <t>10-May-2025</t>
  </si>
  <si>
    <t>E106</t>
  </si>
  <si>
    <t>Employee_106</t>
  </si>
  <si>
    <t>03-Sep-2021</t>
  </si>
  <si>
    <t>E107</t>
  </si>
  <si>
    <t>Employee_107</t>
  </si>
  <si>
    <t>13-Jul-2022</t>
  </si>
  <si>
    <t>E108</t>
  </si>
  <si>
    <t>Employee_108</t>
  </si>
  <si>
    <t>E109</t>
  </si>
  <si>
    <t>Employee_109</t>
  </si>
  <si>
    <t>14-May-2022</t>
  </si>
  <si>
    <t>E110</t>
  </si>
  <si>
    <t>Employee_110</t>
  </si>
  <si>
    <t>11-Jan-2020</t>
  </si>
  <si>
    <t>E111</t>
  </si>
  <si>
    <t>Employee_111</t>
  </si>
  <si>
    <t>26-Mar-2023</t>
  </si>
  <si>
    <t>E112</t>
  </si>
  <si>
    <t>Employee_112</t>
  </si>
  <si>
    <t>21-Mar-2022</t>
  </si>
  <si>
    <t>E113</t>
  </si>
  <si>
    <t>Employee_113</t>
  </si>
  <si>
    <t>19-Oct-2020</t>
  </si>
  <si>
    <t>E114</t>
  </si>
  <si>
    <t>Employee_114</t>
  </si>
  <si>
    <t>24-May-2021</t>
  </si>
  <si>
    <t>E115</t>
  </si>
  <si>
    <t>Employee_115</t>
  </si>
  <si>
    <t>28-Nov-2024</t>
  </si>
  <si>
    <t>E116</t>
  </si>
  <si>
    <t>Employee_116</t>
  </si>
  <si>
    <t>15-Apr-2020</t>
  </si>
  <si>
    <t>E117</t>
  </si>
  <si>
    <t>Employee_117</t>
  </si>
  <si>
    <t>08-Jan-2023</t>
  </si>
  <si>
    <t>E118</t>
  </si>
  <si>
    <t>Employee_118</t>
  </si>
  <si>
    <t>16-Dec-2024</t>
  </si>
  <si>
    <t>E119</t>
  </si>
  <si>
    <t>Employee_119</t>
  </si>
  <si>
    <t>26-Nov-2023</t>
  </si>
  <si>
    <t>E120</t>
  </si>
  <si>
    <t>Employee_120</t>
  </si>
  <si>
    <t>22-Jul-2025</t>
  </si>
  <si>
    <t>E121</t>
  </si>
  <si>
    <t>Employee_121</t>
  </si>
  <si>
    <t>12-Jul-2023</t>
  </si>
  <si>
    <t>E122</t>
  </si>
  <si>
    <t>Employee_122</t>
  </si>
  <si>
    <t>31-Jan-2026</t>
  </si>
  <si>
    <t>E123</t>
  </si>
  <si>
    <t>Employee_123</t>
  </si>
  <si>
    <t>15-Dec-2024</t>
  </si>
  <si>
    <t>E124</t>
  </si>
  <si>
    <t>Employee_124</t>
  </si>
  <si>
    <t>08-Jun-2025</t>
  </si>
  <si>
    <t>E125</t>
  </si>
  <si>
    <t>Employee_125</t>
  </si>
  <si>
    <t>06-Mar-2026</t>
  </si>
  <si>
    <t>E126</t>
  </si>
  <si>
    <t>Employee_126</t>
  </si>
  <si>
    <t>22-Sep-2021</t>
  </si>
  <si>
    <t>E127</t>
  </si>
  <si>
    <t>Employee_127</t>
  </si>
  <si>
    <t>25-Sep-2022</t>
  </si>
  <si>
    <t>E128</t>
  </si>
  <si>
    <t>Employee_128</t>
  </si>
  <si>
    <t>13-Jul-2021</t>
  </si>
  <si>
    <t>E129</t>
  </si>
  <si>
    <t>Employee_129</t>
  </si>
  <si>
    <t>30-Dec-2022</t>
  </si>
  <si>
    <t>E130</t>
  </si>
  <si>
    <t>Employee_130</t>
  </si>
  <si>
    <t>28-Jun-2025</t>
  </si>
  <si>
    <t>E131</t>
  </si>
  <si>
    <t>Employee_131</t>
  </si>
  <si>
    <t>25-Mar-2024</t>
  </si>
  <si>
    <t>E132</t>
  </si>
  <si>
    <t>Employee_132</t>
  </si>
  <si>
    <t>14-Aug-2022</t>
  </si>
  <si>
    <t>E133</t>
  </si>
  <si>
    <t>Employee_133</t>
  </si>
  <si>
    <t>15-Sep-2021</t>
  </si>
  <si>
    <t>E134</t>
  </si>
  <si>
    <t>Employee_134</t>
  </si>
  <si>
    <t>12-Feb-2021</t>
  </si>
  <si>
    <t>E135</t>
  </si>
  <si>
    <t>Employee_135</t>
  </si>
  <si>
    <t>07-Apr-2025</t>
  </si>
  <si>
    <t>E136</t>
  </si>
  <si>
    <t>Employee_136</t>
  </si>
  <si>
    <t>25-Dec-2025</t>
  </si>
  <si>
    <t>E137</t>
  </si>
  <si>
    <t>Employee_137</t>
  </si>
  <si>
    <t>07-Oct-2020</t>
  </si>
  <si>
    <t>E138</t>
  </si>
  <si>
    <t>Employee_138</t>
  </si>
  <si>
    <t>15-Feb-2021</t>
  </si>
  <si>
    <t>E139</t>
  </si>
  <si>
    <t>Employee_139</t>
  </si>
  <si>
    <t>16-Apr-2023</t>
  </si>
  <si>
    <t>E140</t>
  </si>
  <si>
    <t>Employee_140</t>
  </si>
  <si>
    <t>07-Jan-2022</t>
  </si>
  <si>
    <t>E141</t>
  </si>
  <si>
    <t>Employee_141</t>
  </si>
  <si>
    <t>16-Jul-2026</t>
  </si>
  <si>
    <t>E142</t>
  </si>
  <si>
    <t>Employee_142</t>
  </si>
  <si>
    <t>08-Feb-2020</t>
  </si>
  <si>
    <t>E143</t>
  </si>
  <si>
    <t>Employee_143</t>
  </si>
  <si>
    <t>10-May-2023</t>
  </si>
  <si>
    <t>E144</t>
  </si>
  <si>
    <t>Employee_144</t>
  </si>
  <si>
    <t>02-Jun-2025</t>
  </si>
  <si>
    <t>E145</t>
  </si>
  <si>
    <t>Employee_145</t>
  </si>
  <si>
    <t>24-Apr-2023</t>
  </si>
  <si>
    <t>E146</t>
  </si>
  <si>
    <t>Employee_146</t>
  </si>
  <si>
    <t>27-Jul-2025</t>
  </si>
  <si>
    <t>E147</t>
  </si>
  <si>
    <t>Employee_147</t>
  </si>
  <si>
    <t>23-Oct-2022</t>
  </si>
  <si>
    <t>E148</t>
  </si>
  <si>
    <t>Employee_148</t>
  </si>
  <si>
    <t>16-May-2020</t>
  </si>
  <si>
    <t>E149</t>
  </si>
  <si>
    <t>Employee_149</t>
  </si>
  <si>
    <t>28-Aug-2024</t>
  </si>
  <si>
    <t>E150</t>
  </si>
  <si>
    <t>Employee_150</t>
  </si>
  <si>
    <t>21-Jan-2023</t>
  </si>
  <si>
    <t>E151</t>
  </si>
  <si>
    <t>Employee_151</t>
  </si>
  <si>
    <t>02-Apr-2025</t>
  </si>
  <si>
    <t>E152</t>
  </si>
  <si>
    <t>Employee_152</t>
  </si>
  <si>
    <t>04-Jan-2021</t>
  </si>
  <si>
    <t>E153</t>
  </si>
  <si>
    <t>Employee_153</t>
  </si>
  <si>
    <t>09-Dec-2022</t>
  </si>
  <si>
    <t>E154</t>
  </si>
  <si>
    <t>Employee_154</t>
  </si>
  <si>
    <t>12-Apr-2020</t>
  </si>
  <si>
    <t>E155</t>
  </si>
  <si>
    <t>Employee_155</t>
  </si>
  <si>
    <t>16-Mar-2025</t>
  </si>
  <si>
    <t>E156</t>
  </si>
  <si>
    <t>Employee_156</t>
  </si>
  <si>
    <t>20-Apr-2021</t>
  </si>
  <si>
    <t>E157</t>
  </si>
  <si>
    <t>Employee_157</t>
  </si>
  <si>
    <t>21-Jan-2026</t>
  </si>
  <si>
    <t>E158</t>
  </si>
  <si>
    <t>Employee_158</t>
  </si>
  <si>
    <t>29-Jul-2024</t>
  </si>
  <si>
    <t>E159</t>
  </si>
  <si>
    <t>Employee_159</t>
  </si>
  <si>
    <t>25-Jan-2024</t>
  </si>
  <si>
    <t>E160</t>
  </si>
  <si>
    <t>Employee_160</t>
  </si>
  <si>
    <t>04-Feb-2023</t>
  </si>
  <si>
    <t>E161</t>
  </si>
  <si>
    <t>Employee_161</t>
  </si>
  <si>
    <t>18-May-2022</t>
  </si>
  <si>
    <t>E162</t>
  </si>
  <si>
    <t>Employee_162</t>
  </si>
  <si>
    <t>01-May-2026</t>
  </si>
  <si>
    <t>E163</t>
  </si>
  <si>
    <t>Employee_163</t>
  </si>
  <si>
    <t>12-Aug-2022</t>
  </si>
  <si>
    <t>E164</t>
  </si>
  <si>
    <t>Employee_164</t>
  </si>
  <si>
    <t>16-Jun-2021</t>
  </si>
  <si>
    <t>E165</t>
  </si>
  <si>
    <t>Employee_165</t>
  </si>
  <si>
    <t>07-Jan-2024</t>
  </si>
  <si>
    <t>E166</t>
  </si>
  <si>
    <t>Employee_166</t>
  </si>
  <si>
    <t>20-Sep-2024</t>
  </si>
  <si>
    <t>E167</t>
  </si>
  <si>
    <t>Employee_167</t>
  </si>
  <si>
    <t>22-Mar-2021</t>
  </si>
  <si>
    <t>E168</t>
  </si>
  <si>
    <t>Employee_168</t>
  </si>
  <si>
    <t>19-Feb-2025</t>
  </si>
  <si>
    <t>E169</t>
  </si>
  <si>
    <t>Employee_169</t>
  </si>
  <si>
    <t>E170</t>
  </si>
  <si>
    <t>Employee_170</t>
  </si>
  <si>
    <t>26-Sep-2020</t>
  </si>
  <si>
    <t>E171</t>
  </si>
  <si>
    <t>Employee_171</t>
  </si>
  <si>
    <t>13-Dec-2025</t>
  </si>
  <si>
    <t>E172</t>
  </si>
  <si>
    <t>Employee_172</t>
  </si>
  <si>
    <t>08-Mar-2026</t>
  </si>
  <si>
    <t>E173</t>
  </si>
  <si>
    <t>Employee_173</t>
  </si>
  <si>
    <t>21-Jun-2024</t>
  </si>
  <si>
    <t>E174</t>
  </si>
  <si>
    <t>Employee_174</t>
  </si>
  <si>
    <t>26-Apr-2025</t>
  </si>
  <si>
    <t>E175</t>
  </si>
  <si>
    <t>Employee_175</t>
  </si>
  <si>
    <t>06-Mar-2024</t>
  </si>
  <si>
    <t>E176</t>
  </si>
  <si>
    <t>Employee_176</t>
  </si>
  <si>
    <t>15-May-2021</t>
  </si>
  <si>
    <t>E177</t>
  </si>
  <si>
    <t>Employee_177</t>
  </si>
  <si>
    <t>03-Jul-2023</t>
  </si>
  <si>
    <t>E178</t>
  </si>
  <si>
    <t>Employee_178</t>
  </si>
  <si>
    <t>19-Mar-2021</t>
  </si>
  <si>
    <t>E179</t>
  </si>
  <si>
    <t>Employee_179</t>
  </si>
  <si>
    <t>23-Oct-2024</t>
  </si>
  <si>
    <t>E180</t>
  </si>
  <si>
    <t>Employee_180</t>
  </si>
  <si>
    <t>24-Jan-2023</t>
  </si>
  <si>
    <t>E181</t>
  </si>
  <si>
    <t>Employee_181</t>
  </si>
  <si>
    <t>29-Jun-2024</t>
  </si>
  <si>
    <t>E182</t>
  </si>
  <si>
    <t>Employee_182</t>
  </si>
  <si>
    <t>20-Mar-2024</t>
  </si>
  <si>
    <t>E183</t>
  </si>
  <si>
    <t>Employee_183</t>
  </si>
  <si>
    <t>13-Dec-2020</t>
  </si>
  <si>
    <t>E184</t>
  </si>
  <si>
    <t>Employee_184</t>
  </si>
  <si>
    <t>19-Dec-2024</t>
  </si>
  <si>
    <t>E185</t>
  </si>
  <si>
    <t>Employee_185</t>
  </si>
  <si>
    <t>11-Apr-2021</t>
  </si>
  <si>
    <t>E186</t>
  </si>
  <si>
    <t>Employee_186</t>
  </si>
  <si>
    <t>17-Jun-2023</t>
  </si>
  <si>
    <t>E187</t>
  </si>
  <si>
    <t>Employee_187</t>
  </si>
  <si>
    <t>19-May-2023</t>
  </si>
  <si>
    <t>E188</t>
  </si>
  <si>
    <t>Employee_188</t>
  </si>
  <si>
    <t>30-Jul-2025</t>
  </si>
  <si>
    <t>E189</t>
  </si>
  <si>
    <t>Employee_189</t>
  </si>
  <si>
    <t>21-Dec-2023</t>
  </si>
  <si>
    <t>E190</t>
  </si>
  <si>
    <t>Employee_190</t>
  </si>
  <si>
    <t>14-Nov-2020</t>
  </si>
  <si>
    <t>E191</t>
  </si>
  <si>
    <t>Employee_191</t>
  </si>
  <si>
    <t>17-Jul-2024</t>
  </si>
  <si>
    <t>E192</t>
  </si>
  <si>
    <t>Employee_192</t>
  </si>
  <si>
    <t>23-Nov-2024</t>
  </si>
  <si>
    <t>E193</t>
  </si>
  <si>
    <t>Employee_193</t>
  </si>
  <si>
    <t>24-Jun-2023</t>
  </si>
  <si>
    <t>E194</t>
  </si>
  <si>
    <t>Employee_194</t>
  </si>
  <si>
    <t>12-Apr-2021</t>
  </si>
  <si>
    <t>E195</t>
  </si>
  <si>
    <t>Employee_195</t>
  </si>
  <si>
    <t>27-Aug-2021</t>
  </si>
  <si>
    <t>E196</t>
  </si>
  <si>
    <t>Employee_196</t>
  </si>
  <si>
    <t>E197</t>
  </si>
  <si>
    <t>Employee_197</t>
  </si>
  <si>
    <t>E198</t>
  </si>
  <si>
    <t>Employee_198</t>
  </si>
  <si>
    <t>06-Oct-2020</t>
  </si>
  <si>
    <t>E199</t>
  </si>
  <si>
    <t>Employee_199</t>
  </si>
  <si>
    <t>E200</t>
  </si>
  <si>
    <t>Employee_200</t>
  </si>
  <si>
    <t>21-Mar-2023</t>
  </si>
  <si>
    <t>E201</t>
  </si>
  <si>
    <t>Employee_201</t>
  </si>
  <si>
    <t>20-Mar-2026</t>
  </si>
  <si>
    <t>E202</t>
  </si>
  <si>
    <t>Employee_202</t>
  </si>
  <si>
    <t>02-May-2025</t>
  </si>
  <si>
    <t>E203</t>
  </si>
  <si>
    <t>Employee_203</t>
  </si>
  <si>
    <t>11-Dec-2020</t>
  </si>
  <si>
    <t>E204</t>
  </si>
  <si>
    <t>Employee_204</t>
  </si>
  <si>
    <t>11-Nov-2025</t>
  </si>
  <si>
    <t>E205</t>
  </si>
  <si>
    <t>Employee_205</t>
  </si>
  <si>
    <t>02-Aug-2020</t>
  </si>
  <si>
    <t>E206</t>
  </si>
  <si>
    <t>Employee_206</t>
  </si>
  <si>
    <t>29-Oct-2022</t>
  </si>
  <si>
    <t>E207</t>
  </si>
  <si>
    <t>Employee_207</t>
  </si>
  <si>
    <t>24-May-2024</t>
  </si>
  <si>
    <t>E208</t>
  </si>
  <si>
    <t>Employee_208</t>
  </si>
  <si>
    <t>07-Sep-2023</t>
  </si>
  <si>
    <t>E209</t>
  </si>
  <si>
    <t>Employee_209</t>
  </si>
  <si>
    <t>15-Mar-2020</t>
  </si>
  <si>
    <t>E210</t>
  </si>
  <si>
    <t>Employee_210</t>
  </si>
  <si>
    <t>16-Jul-2022</t>
  </si>
  <si>
    <t>E211</t>
  </si>
  <si>
    <t>Employee_211</t>
  </si>
  <si>
    <t>26-Nov-2025</t>
  </si>
  <si>
    <t>E212</t>
  </si>
  <si>
    <t>Employee_212</t>
  </si>
  <si>
    <t>23-Sep-2021</t>
  </si>
  <si>
    <t>E213</t>
  </si>
  <si>
    <t>Employee_213</t>
  </si>
  <si>
    <t>27-Nov-2024</t>
  </si>
  <si>
    <t>E214</t>
  </si>
  <si>
    <t>Employee_214</t>
  </si>
  <si>
    <t>E215</t>
  </si>
  <si>
    <t>Employee_215</t>
  </si>
  <si>
    <t>25-May-2026</t>
  </si>
  <si>
    <t>E216</t>
  </si>
  <si>
    <t>Employee_216</t>
  </si>
  <si>
    <t>10-Sep-2024</t>
  </si>
  <si>
    <t>E217</t>
  </si>
  <si>
    <t>Employee_217</t>
  </si>
  <si>
    <t>22-May-2025</t>
  </si>
  <si>
    <t>E218</t>
  </si>
  <si>
    <t>Employee_218</t>
  </si>
  <si>
    <t>09-Dec-2020</t>
  </si>
  <si>
    <t>E219</t>
  </si>
  <si>
    <t>Employee_219</t>
  </si>
  <si>
    <t>28-Jun-2022</t>
  </si>
  <si>
    <t>E220</t>
  </si>
  <si>
    <t>Employee_220</t>
  </si>
  <si>
    <t>E221</t>
  </si>
  <si>
    <t>Employee_221</t>
  </si>
  <si>
    <t>09-Feb-2021</t>
  </si>
  <si>
    <t>E222</t>
  </si>
  <si>
    <t>Employee_222</t>
  </si>
  <si>
    <t>05-Apr-2025</t>
  </si>
  <si>
    <t>E223</t>
  </si>
  <si>
    <t>Employee_223</t>
  </si>
  <si>
    <t>25-Feb-2026</t>
  </si>
  <si>
    <t>E224</t>
  </si>
  <si>
    <t>Employee_224</t>
  </si>
  <si>
    <t>14-May-2021</t>
  </si>
  <si>
    <t>E225</t>
  </si>
  <si>
    <t>Employee_225</t>
  </si>
  <si>
    <t>30-Mar-2021</t>
  </si>
  <si>
    <t>E226</t>
  </si>
  <si>
    <t>Employee_226</t>
  </si>
  <si>
    <t>11-Aug-2021</t>
  </si>
  <si>
    <t>E227</t>
  </si>
  <si>
    <t>Employee_227</t>
  </si>
  <si>
    <t>06-Feb-2022</t>
  </si>
  <si>
    <t>E228</t>
  </si>
  <si>
    <t>Employee_228</t>
  </si>
  <si>
    <t>E229</t>
  </si>
  <si>
    <t>Employee_229</t>
  </si>
  <si>
    <t>04-Nov-2022</t>
  </si>
  <si>
    <t>E230</t>
  </si>
  <si>
    <t>Employee_230</t>
  </si>
  <si>
    <t>23-Sep-2023</t>
  </si>
  <si>
    <t>E231</t>
  </si>
  <si>
    <t>Employee_231</t>
  </si>
  <si>
    <t>14-May-2025</t>
  </si>
  <si>
    <t>E232</t>
  </si>
  <si>
    <t>Employee_232</t>
  </si>
  <si>
    <t>05-Apr-2022</t>
  </si>
  <si>
    <t>E233</t>
  </si>
  <si>
    <t>Employee_233</t>
  </si>
  <si>
    <t>02-Feb-2026</t>
  </si>
  <si>
    <t>E234</t>
  </si>
  <si>
    <t>Employee_234</t>
  </si>
  <si>
    <t>14-Jul-2020</t>
  </si>
  <si>
    <t>E235</t>
  </si>
  <si>
    <t>Employee_235</t>
  </si>
  <si>
    <t>E236</t>
  </si>
  <si>
    <t>Employee_236</t>
  </si>
  <si>
    <t>28-Dec-2022</t>
  </si>
  <si>
    <t>E237</t>
  </si>
  <si>
    <t>Employee_237</t>
  </si>
  <si>
    <t>08-Aug-2023</t>
  </si>
  <si>
    <t>E238</t>
  </si>
  <si>
    <t>Employee_238</t>
  </si>
  <si>
    <t>11-Oct-2024</t>
  </si>
  <si>
    <t>E239</t>
  </si>
  <si>
    <t>Employee_239</t>
  </si>
  <si>
    <t>29-Jan-2023</t>
  </si>
  <si>
    <t>E240</t>
  </si>
  <si>
    <t>Employee_240</t>
  </si>
  <si>
    <t>17-Oct-2021</t>
  </si>
  <si>
    <t>E241</t>
  </si>
  <si>
    <t>Employee_241</t>
  </si>
  <si>
    <t>02-Oct-2020</t>
  </si>
  <si>
    <t>E242</t>
  </si>
  <si>
    <t>Employee_242</t>
  </si>
  <si>
    <t>16-Jan-2025</t>
  </si>
  <si>
    <t>E243</t>
  </si>
  <si>
    <t>Employee_243</t>
  </si>
  <si>
    <t>12-Feb-2024</t>
  </si>
  <si>
    <t>E244</t>
  </si>
  <si>
    <t>Employee_244</t>
  </si>
  <si>
    <t>01-Feb-2022</t>
  </si>
  <si>
    <t>E245</t>
  </si>
  <si>
    <t>Employee_245</t>
  </si>
  <si>
    <t>01-Jan-2025</t>
  </si>
  <si>
    <t>E246</t>
  </si>
  <si>
    <t>Employee_246</t>
  </si>
  <si>
    <t>30-Oct-2020</t>
  </si>
  <si>
    <t>E247</t>
  </si>
  <si>
    <t>Employee_247</t>
  </si>
  <si>
    <t>24-Nov-2023</t>
  </si>
  <si>
    <t>E248</t>
  </si>
  <si>
    <t>Employee_248</t>
  </si>
  <si>
    <t>14-Sep-2025</t>
  </si>
  <si>
    <t>E249</t>
  </si>
  <si>
    <t>Employee_249</t>
  </si>
  <si>
    <t>17-Apr-2020</t>
  </si>
  <si>
    <t>E250</t>
  </si>
  <si>
    <t>Employee_250</t>
  </si>
  <si>
    <t>19-Dec-2020</t>
  </si>
  <si>
    <t>E251</t>
  </si>
  <si>
    <t>Employee_251</t>
  </si>
  <si>
    <t>04-Aug-2024</t>
  </si>
  <si>
    <t>E252</t>
  </si>
  <si>
    <t>Employee_252</t>
  </si>
  <si>
    <t>20-Oct-2025</t>
  </si>
  <si>
    <t>E253</t>
  </si>
  <si>
    <t>Employee_253</t>
  </si>
  <si>
    <t>12-Jun-2021</t>
  </si>
  <si>
    <t>E254</t>
  </si>
  <si>
    <t>Employee_254</t>
  </si>
  <si>
    <t>30-May-2023</t>
  </si>
  <si>
    <t>E255</t>
  </si>
  <si>
    <t>Employee_255</t>
  </si>
  <si>
    <t>09-Mar-2023</t>
  </si>
  <si>
    <t>E256</t>
  </si>
  <si>
    <t>Employee_256</t>
  </si>
  <si>
    <t>25-May-2023</t>
  </si>
  <si>
    <t>E257</t>
  </si>
  <si>
    <t>Employee_257</t>
  </si>
  <si>
    <t>E258</t>
  </si>
  <si>
    <t>Employee_258</t>
  </si>
  <si>
    <t>05-Jul-2020</t>
  </si>
  <si>
    <t>E259</t>
  </si>
  <si>
    <t>Employee_259</t>
  </si>
  <si>
    <t>04-May-2020</t>
  </si>
  <si>
    <t>E260</t>
  </si>
  <si>
    <t>Employee_260</t>
  </si>
  <si>
    <t>21-Jul-2024</t>
  </si>
  <si>
    <t>E261</t>
  </si>
  <si>
    <t>Employee_261</t>
  </si>
  <si>
    <t>06-Jun-2025</t>
  </si>
  <si>
    <t>E262</t>
  </si>
  <si>
    <t>Employee_262</t>
  </si>
  <si>
    <t>15-Nov-2023</t>
  </si>
  <si>
    <t>E263</t>
  </si>
  <si>
    <t>Employee_263</t>
  </si>
  <si>
    <t>17-Sep-2022</t>
  </si>
  <si>
    <t>E264</t>
  </si>
  <si>
    <t>Employee_264</t>
  </si>
  <si>
    <t>03-Apr-2023</t>
  </si>
  <si>
    <t>E265</t>
  </si>
  <si>
    <t>Employee_265</t>
  </si>
  <si>
    <t>04-Jul-2023</t>
  </si>
  <si>
    <t>E266</t>
  </si>
  <si>
    <t>Employee_266</t>
  </si>
  <si>
    <t>E267</t>
  </si>
  <si>
    <t>Employee_267</t>
  </si>
  <si>
    <t>17-Jul-2026</t>
  </si>
  <si>
    <t>E268</t>
  </si>
  <si>
    <t>Employee_268</t>
  </si>
  <si>
    <t>07-Jan-2026</t>
  </si>
  <si>
    <t>E269</t>
  </si>
  <si>
    <t>Employee_269</t>
  </si>
  <si>
    <t>04-Jul-2020</t>
  </si>
  <si>
    <t>E270</t>
  </si>
  <si>
    <t>Employee_270</t>
  </si>
  <si>
    <t>28-Oct-2020</t>
  </si>
  <si>
    <t>E271</t>
  </si>
  <si>
    <t>Employee_271</t>
  </si>
  <si>
    <t>01-May-2021</t>
  </si>
  <si>
    <t>E272</t>
  </si>
  <si>
    <t>Employee_272</t>
  </si>
  <si>
    <t>13-Aug-2021</t>
  </si>
  <si>
    <t>E273</t>
  </si>
  <si>
    <t>Employee_273</t>
  </si>
  <si>
    <t>15-Jul-2021</t>
  </si>
  <si>
    <t>E274</t>
  </si>
  <si>
    <t>Employee_274</t>
  </si>
  <si>
    <t>05-Sep-2023</t>
  </si>
  <si>
    <t>E275</t>
  </si>
  <si>
    <t>Employee_275</t>
  </si>
  <si>
    <t>08-Sep-2025</t>
  </si>
  <si>
    <t>E276</t>
  </si>
  <si>
    <t>Employee_276</t>
  </si>
  <si>
    <t>17-Feb-2024</t>
  </si>
  <si>
    <t>E277</t>
  </si>
  <si>
    <t>Employee_277</t>
  </si>
  <si>
    <t>27-Apr-2025</t>
  </si>
  <si>
    <t>E278</t>
  </si>
  <si>
    <t>Employee_278</t>
  </si>
  <si>
    <t>29-Nov-2021</t>
  </si>
  <si>
    <t>E279</t>
  </si>
  <si>
    <t>Employee_279</t>
  </si>
  <si>
    <t>26-Mar-2021</t>
  </si>
  <si>
    <t>E280</t>
  </si>
  <si>
    <t>Employee_280</t>
  </si>
  <si>
    <t>15-Apr-2022</t>
  </si>
  <si>
    <t>E281</t>
  </si>
  <si>
    <t>Employee_281</t>
  </si>
  <si>
    <t>29-Apr-2022</t>
  </si>
  <si>
    <t>E282</t>
  </si>
  <si>
    <t>Employee_282</t>
  </si>
  <si>
    <t>10-Dec-2021</t>
  </si>
  <si>
    <t>E283</t>
  </si>
  <si>
    <t>Employee_283</t>
  </si>
  <si>
    <t>26-Feb-2022</t>
  </si>
  <si>
    <t>E284</t>
  </si>
  <si>
    <t>Employee_284</t>
  </si>
  <si>
    <t>E285</t>
  </si>
  <si>
    <t>Employee_285</t>
  </si>
  <si>
    <t>06-Jun-2026</t>
  </si>
  <si>
    <t>E286</t>
  </si>
  <si>
    <t>Employee_286</t>
  </si>
  <si>
    <t>21-Jun-2020</t>
  </si>
  <si>
    <t>E287</t>
  </si>
  <si>
    <t>Employee_287</t>
  </si>
  <si>
    <t>07-Apr-2022</t>
  </si>
  <si>
    <t>E288</t>
  </si>
  <si>
    <t>Employee_288</t>
  </si>
  <si>
    <t>07-Sep-2022</t>
  </si>
  <si>
    <t>E289</t>
  </si>
  <si>
    <t>Employee_289</t>
  </si>
  <si>
    <t>14-Feb-2021</t>
  </si>
  <si>
    <t>E290</t>
  </si>
  <si>
    <t>Employee_290</t>
  </si>
  <si>
    <t>08-Oct-2021</t>
  </si>
  <si>
    <t>E291</t>
  </si>
  <si>
    <t>Employee_291</t>
  </si>
  <si>
    <t>30-Aug-2020</t>
  </si>
  <si>
    <t>E292</t>
  </si>
  <si>
    <t>Employee_292</t>
  </si>
  <si>
    <t>E293</t>
  </si>
  <si>
    <t>Employee_293</t>
  </si>
  <si>
    <t>07-May-2023</t>
  </si>
  <si>
    <t>E294</t>
  </si>
  <si>
    <t>Employee_294</t>
  </si>
  <si>
    <t>03-Feb-2026</t>
  </si>
  <si>
    <t>E295</t>
  </si>
  <si>
    <t>Employee_295</t>
  </si>
  <si>
    <t>28-Feb-2022</t>
  </si>
  <si>
    <t>E296</t>
  </si>
  <si>
    <t>Employee_296</t>
  </si>
  <si>
    <t>12-Oct-2023</t>
  </si>
  <si>
    <t>E297</t>
  </si>
  <si>
    <t>Employee_297</t>
  </si>
  <si>
    <t>18-Jul-2024</t>
  </si>
  <si>
    <t>E298</t>
  </si>
  <si>
    <t>Employee_298</t>
  </si>
  <si>
    <t>09-May-2025</t>
  </si>
  <si>
    <t>E299</t>
  </si>
  <si>
    <t>Employee_299</t>
  </si>
  <si>
    <t>12-Sep-2023</t>
  </si>
  <si>
    <t>E300</t>
  </si>
  <si>
    <t>Employee_300</t>
  </si>
  <si>
    <t>25-Aug-2022</t>
  </si>
  <si>
    <t>EMPLOYEE SALES REPORT</t>
  </si>
  <si>
    <t>REGION</t>
  </si>
  <si>
    <t>VERY VERY GOOD</t>
  </si>
  <si>
    <t xml:space="preserve">                                                                                                                                                                       </t>
  </si>
  <si>
    <t>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</si>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</sst>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4"/>
      <name val="Bold"/>
    </font>
    <font>
      <b/>
      <sz val="11"/>
      <color theme="4"/>
      <name val="ADLaM Display"/>
    </font>
    <font>
      <b/>
      <i/>
      <sz val="11"/>
      <color theme="4"/>
      <name val="Bold"/>
    </font>
    <font>
      <i/>
      <sz val="14"/>
      <color theme="1"/>
      <name val="Calibri"/>
      <family val="2"/>
      <scheme val="minor"/>
    </font>
    <font>
      <b/>
      <u/>
      <sz val="11"/>
      <color theme="4"/>
      <name val="Bold"/>
    </font>
    <font>
      <sz val="48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3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Border="1"/>
    <xf numFmtId="0" fontId="5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0" fillId="0" borderId="0" xfId="0" applyNumberFormat="1"/>
    <xf numFmtId="164" fontId="10" fillId="3" borderId="1" xfId="2" applyNumberFormat="1" applyBorder="1" applyAlignment="1">
      <alignment horizontal="center" vertical="center" wrapText="1"/>
    </xf>
    <xf numFmtId="2" fontId="10" fillId="3" borderId="1" xfId="2" applyNumberFormat="1" applyBorder="1"/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Good" xfId="2" builtinId="26"/>
    <cellStyle name="Normal" xfId="0" builtinId="0"/>
    <cellStyle name="Style 1" xfId="1" xr:uid="{CA890D89-FCC0-4416-B72A-DD75E63C7A44}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554182</xdr:colOff>
      <xdr:row>4</xdr:row>
      <xdr:rowOff>94261</xdr:rowOff>
    </xdr:from>
    <xdr:to>
      <xdr:col>12</xdr:col>
      <xdr:colOff>599901</xdr:colOff>
      <xdr:row>4</xdr:row>
      <xdr:rowOff>139980</xdr:rowOff>
    </xdr:to>
    <xdr:sp macro="" textlink="">
      <xdr:nvSpPr>
        <xdr:cNvPr id="2" name="Double Brace 1">
          <a:extLst>
            <a:ext uri="{FF2B5EF4-FFF2-40B4-BE49-F238E27FC236}">
              <a16:creationId xmlns:a16="http://schemas.microsoft.com/office/drawing/2014/main" id="{7AD4EC7C-CF7F-CB92-3365-F75A866ABDE4}"/>
            </a:ext>
          </a:extLst>
        </xdr:cNvPr>
        <xdr:cNvSpPr/>
      </xdr:nvSpPr>
      <xdr:spPr>
        <a:xfrm>
          <a:off x="13505708" y="2160073"/>
          <a:ext cx="45719" cy="45719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-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5"/>
  <sheetViews>
    <sheetView tabSelected="1" zoomScale="69" zoomScaleNormal="69" workbookViewId="0">
      <selection activeCell="D21" sqref="D21"/>
    </sheetView>
  </sheetViews>
  <sheetFormatPr defaultRowHeight="15" x14ac:dyDescent="0.25"/>
  <cols>
    <col min="1" max="1" width="12.28515625" customWidth="1"/>
    <col min="2" max="2" width="21" customWidth="1"/>
    <col min="3" max="3" width="19" customWidth="1"/>
    <col min="4" max="4" width="11.5703125" customWidth="1"/>
    <col min="5" max="5" width="15.28515625" customWidth="1"/>
    <col min="6" max="6" width="27.42578125" customWidth="1"/>
    <col min="7" max="7" width="18.42578125" customWidth="1"/>
    <col min="8" max="8" width="14.42578125" customWidth="1"/>
    <col min="9" max="9" width="13" customWidth="1"/>
    <col min="10" max="10" width="17.7109375" customWidth="1"/>
    <col min="11" max="11" width="17.28515625" customWidth="1"/>
    <col min="12" max="12" width="14" customWidth="1"/>
    <col min="13" max="13" width="21.85546875" customWidth="1"/>
    <col min="14" max="14" width="12.28515625" bestFit="1" customWidth="1"/>
    <col min="15" max="15" width="13" bestFit="1" customWidth="1"/>
  </cols>
  <sheetData>
    <row r="1" spans="1:15" x14ac:dyDescent="0.25">
      <c r="L1" s="12">
        <f>G298</f>
        <v>104379</v>
      </c>
    </row>
    <row r="2" spans="1:15" ht="57.75" customHeight="1" x14ac:dyDescent="0.9">
      <c r="A2" s="15" t="s">
        <v>905</v>
      </c>
      <c r="B2" s="16"/>
      <c r="C2" s="16"/>
      <c r="D2" s="16"/>
      <c r="E2" s="16"/>
      <c r="F2" s="16"/>
      <c r="G2" s="16"/>
      <c r="H2" s="16"/>
      <c r="I2" s="16"/>
      <c r="J2" s="16"/>
      <c r="M2" s="12"/>
    </row>
    <row r="3" spans="1:15" ht="72" customHeight="1" x14ac:dyDescent="0.25">
      <c r="A3" s="4" t="s">
        <v>0</v>
      </c>
      <c r="B3" s="5" t="s">
        <v>1</v>
      </c>
      <c r="C3" s="3" t="s">
        <v>2</v>
      </c>
      <c r="D3" s="4" t="s">
        <v>3</v>
      </c>
      <c r="E3" s="4" t="s">
        <v>4</v>
      </c>
      <c r="F3" s="8" t="s">
        <v>5</v>
      </c>
      <c r="G3" s="10" t="s">
        <v>6</v>
      </c>
      <c r="H3" s="6" t="s">
        <v>7</v>
      </c>
      <c r="I3" s="13" t="s">
        <v>9</v>
      </c>
      <c r="J3" s="6" t="s">
        <v>8</v>
      </c>
      <c r="K3" s="11" t="s">
        <v>906</v>
      </c>
      <c r="M3" s="12"/>
      <c r="N3" s="12"/>
    </row>
    <row r="4" spans="1:15" ht="18.75" x14ac:dyDescent="0.3">
      <c r="A4" s="1" t="s">
        <v>10</v>
      </c>
      <c r="B4" s="7" t="s">
        <v>11</v>
      </c>
      <c r="C4" s="1" t="s">
        <v>12</v>
      </c>
      <c r="D4" s="1" t="s">
        <v>13</v>
      </c>
      <c r="E4" s="1" t="s">
        <v>14</v>
      </c>
      <c r="F4" s="9">
        <v>38278</v>
      </c>
      <c r="G4" s="9">
        <v>44784</v>
      </c>
      <c r="H4" s="14">
        <v>86.41</v>
      </c>
      <c r="I4">
        <v>3143</v>
      </c>
      <c r="J4" s="1" t="s">
        <v>15</v>
      </c>
      <c r="K4" s="12">
        <f t="shared" ref="K4:K24" si="0">SUM(F4:J4)</f>
        <v>86291.41</v>
      </c>
      <c r="M4" s="12"/>
      <c r="N4">
        <f>SUMIF(C4:C303,"SUM",F4:F304)</f>
        <v>0</v>
      </c>
    </row>
    <row r="5" spans="1:15" ht="18.75" x14ac:dyDescent="0.3">
      <c r="A5" s="1" t="s">
        <v>48</v>
      </c>
      <c r="B5" s="2" t="s">
        <v>49</v>
      </c>
      <c r="C5" s="1" t="s">
        <v>26</v>
      </c>
      <c r="D5" s="1" t="s">
        <v>13</v>
      </c>
      <c r="E5" s="1" t="s">
        <v>50</v>
      </c>
      <c r="F5" s="9">
        <v>105010</v>
      </c>
      <c r="G5" s="9">
        <v>111020</v>
      </c>
      <c r="H5" s="14">
        <v>84.94</v>
      </c>
      <c r="I5">
        <v>5108</v>
      </c>
      <c r="J5" s="1" t="s">
        <v>15</v>
      </c>
      <c r="K5" s="12">
        <f t="shared" si="0"/>
        <v>221222.94</v>
      </c>
      <c r="M5" t="e" vm="1">
        <f>_xleta.SUM</f>
        <v>#VALUE!</v>
      </c>
      <c r="N5">
        <f>SUMIF(C4:C303,"sales")</f>
        <v>0</v>
      </c>
    </row>
    <row r="6" spans="1:15" ht="18.75" x14ac:dyDescent="0.3">
      <c r="A6" s="1" t="s">
        <v>315</v>
      </c>
      <c r="B6" s="2" t="s">
        <v>316</v>
      </c>
      <c r="C6" s="1" t="s">
        <v>66</v>
      </c>
      <c r="D6" s="1" t="s">
        <v>22</v>
      </c>
      <c r="E6" s="1" t="s">
        <v>317</v>
      </c>
      <c r="F6" s="9">
        <v>105236</v>
      </c>
      <c r="G6" s="9">
        <v>110269</v>
      </c>
      <c r="H6" s="14">
        <v>85.45</v>
      </c>
      <c r="I6">
        <v>8050</v>
      </c>
      <c r="J6" s="1" t="s">
        <v>32</v>
      </c>
      <c r="K6" s="12">
        <f t="shared" si="0"/>
        <v>223640.45</v>
      </c>
      <c r="M6">
        <f>SUMIF(C4:C303,"Sales",F4:F303)</f>
        <v>5110105</v>
      </c>
      <c r="O6">
        <f>COUNTIFS(F4:F303,"&gt;80000",H4:H303,"&gt;90")</f>
        <v>77</v>
      </c>
    </row>
    <row r="7" spans="1:15" ht="18.75" x14ac:dyDescent="0.3">
      <c r="A7" s="1" t="s">
        <v>318</v>
      </c>
      <c r="B7" s="2" t="s">
        <v>319</v>
      </c>
      <c r="C7" s="1" t="s">
        <v>39</v>
      </c>
      <c r="D7" s="1" t="s">
        <v>22</v>
      </c>
      <c r="E7" s="1" t="s">
        <v>320</v>
      </c>
      <c r="F7" s="9">
        <v>113222</v>
      </c>
      <c r="G7" s="9">
        <v>119858</v>
      </c>
      <c r="H7" s="14">
        <v>99.65</v>
      </c>
      <c r="I7">
        <v>8820</v>
      </c>
      <c r="J7" s="1" t="s">
        <v>15</v>
      </c>
      <c r="K7" s="12">
        <f t="shared" si="0"/>
        <v>241999.65</v>
      </c>
      <c r="O7" s="12"/>
    </row>
    <row r="8" spans="1:15" ht="18.75" x14ac:dyDescent="0.3">
      <c r="A8" s="1" t="s">
        <v>321</v>
      </c>
      <c r="B8" s="2" t="s">
        <v>322</v>
      </c>
      <c r="C8" s="1" t="s">
        <v>39</v>
      </c>
      <c r="D8" s="1" t="s">
        <v>22</v>
      </c>
      <c r="E8" s="1" t="s">
        <v>323</v>
      </c>
      <c r="F8" s="9">
        <v>58519</v>
      </c>
      <c r="G8" s="9">
        <v>65471</v>
      </c>
      <c r="H8" s="14">
        <v>82.25</v>
      </c>
      <c r="I8">
        <v>6375</v>
      </c>
      <c r="J8" s="1" t="s">
        <v>15</v>
      </c>
      <c r="K8" s="12">
        <f t="shared" si="0"/>
        <v>130447.25</v>
      </c>
      <c r="M8">
        <f>SUMIF(C4:C303,"Marketing",F4:F303)</f>
        <v>3054739</v>
      </c>
      <c r="O8">
        <f>AVERAGEIF(C4:C303,"Sales",F4:F303)</f>
        <v>77425.833333333328</v>
      </c>
    </row>
    <row r="9" spans="1:15" ht="18.75" x14ac:dyDescent="0.3">
      <c r="A9" s="1" t="s">
        <v>324</v>
      </c>
      <c r="B9" s="2" t="s">
        <v>325</v>
      </c>
      <c r="C9" s="1" t="s">
        <v>66</v>
      </c>
      <c r="D9" s="1" t="s">
        <v>27</v>
      </c>
      <c r="E9" s="1" t="s">
        <v>326</v>
      </c>
      <c r="F9" s="9">
        <v>107529</v>
      </c>
      <c r="G9" s="9">
        <v>114315</v>
      </c>
      <c r="H9" s="14">
        <v>94.55</v>
      </c>
      <c r="I9">
        <v>3034</v>
      </c>
      <c r="J9" s="1" t="s">
        <v>15</v>
      </c>
      <c r="K9" s="12">
        <f t="shared" si="0"/>
        <v>224972.55</v>
      </c>
      <c r="O9" s="12"/>
    </row>
    <row r="10" spans="1:15" ht="18.75" x14ac:dyDescent="0.3">
      <c r="A10" s="1" t="s">
        <v>327</v>
      </c>
      <c r="B10" s="2" t="s">
        <v>328</v>
      </c>
      <c r="C10" s="1" t="s">
        <v>39</v>
      </c>
      <c r="D10" s="1" t="s">
        <v>27</v>
      </c>
      <c r="E10" s="1" t="s">
        <v>329</v>
      </c>
      <c r="F10" s="9">
        <v>72268</v>
      </c>
      <c r="G10" s="9">
        <v>81958</v>
      </c>
      <c r="H10" s="14">
        <v>90.62</v>
      </c>
      <c r="I10">
        <v>4791</v>
      </c>
      <c r="J10" s="1" t="s">
        <v>36</v>
      </c>
      <c r="K10" s="12">
        <f t="shared" si="0"/>
        <v>159107.62</v>
      </c>
      <c r="M10" s="12"/>
    </row>
    <row r="11" spans="1:15" ht="18.75" x14ac:dyDescent="0.3">
      <c r="A11" s="1" t="s">
        <v>330</v>
      </c>
      <c r="B11" s="2" t="s">
        <v>331</v>
      </c>
      <c r="C11" s="1" t="s">
        <v>18</v>
      </c>
      <c r="D11" s="1" t="s">
        <v>27</v>
      </c>
      <c r="E11" s="1" t="s">
        <v>332</v>
      </c>
      <c r="F11" s="9">
        <v>49953</v>
      </c>
      <c r="G11" s="9">
        <v>53023</v>
      </c>
      <c r="H11" s="14">
        <v>89.21</v>
      </c>
      <c r="I11">
        <v>2606</v>
      </c>
      <c r="J11" s="1" t="s">
        <v>15</v>
      </c>
      <c r="K11" s="12">
        <f t="shared" si="0"/>
        <v>105671.21</v>
      </c>
      <c r="M11">
        <f>SUMIF(J4:J303,"Excellent",I4:I303)</f>
        <v>486297</v>
      </c>
    </row>
    <row r="12" spans="1:15" ht="18.75" x14ac:dyDescent="0.3">
      <c r="A12" s="1" t="s">
        <v>333</v>
      </c>
      <c r="B12" s="2" t="s">
        <v>334</v>
      </c>
      <c r="C12" s="1" t="s">
        <v>12</v>
      </c>
      <c r="D12" s="1" t="s">
        <v>13</v>
      </c>
      <c r="E12" s="1" t="s">
        <v>335</v>
      </c>
      <c r="F12" s="9">
        <v>108772</v>
      </c>
      <c r="G12" s="9">
        <v>115750</v>
      </c>
      <c r="H12" s="14">
        <v>83.53</v>
      </c>
      <c r="I12">
        <v>4033</v>
      </c>
      <c r="J12" s="1" t="s">
        <v>36</v>
      </c>
      <c r="K12" s="12">
        <f t="shared" si="0"/>
        <v>228638.53</v>
      </c>
    </row>
    <row r="13" spans="1:15" ht="18.75" x14ac:dyDescent="0.3">
      <c r="A13" s="1" t="s">
        <v>336</v>
      </c>
      <c r="B13" s="2" t="s">
        <v>337</v>
      </c>
      <c r="C13" s="1" t="s">
        <v>26</v>
      </c>
      <c r="D13" s="1" t="s">
        <v>13</v>
      </c>
      <c r="E13" s="1" t="s">
        <v>338</v>
      </c>
      <c r="F13" s="9">
        <v>103494</v>
      </c>
      <c r="G13" s="9">
        <v>111726</v>
      </c>
      <c r="H13" s="14">
        <v>90.11</v>
      </c>
      <c r="I13">
        <v>5626</v>
      </c>
      <c r="J13" s="1" t="s">
        <v>36</v>
      </c>
      <c r="K13" s="12">
        <f t="shared" si="0"/>
        <v>220936.11</v>
      </c>
      <c r="M13" t="s">
        <v>910</v>
      </c>
    </row>
    <row r="14" spans="1:15" ht="18.75" x14ac:dyDescent="0.3">
      <c r="A14" s="1" t="s">
        <v>339</v>
      </c>
      <c r="B14" s="2" t="s">
        <v>340</v>
      </c>
      <c r="C14" s="1" t="s">
        <v>12</v>
      </c>
      <c r="D14" s="1" t="s">
        <v>43</v>
      </c>
      <c r="E14" s="1" t="s">
        <v>184</v>
      </c>
      <c r="F14" s="9">
        <v>109531</v>
      </c>
      <c r="G14" s="9">
        <v>112517</v>
      </c>
      <c r="H14" s="14">
        <v>92.97</v>
      </c>
      <c r="I14">
        <v>8062</v>
      </c>
      <c r="J14" s="1" t="s">
        <v>32</v>
      </c>
      <c r="K14" s="12">
        <f t="shared" si="0"/>
        <v>230202.97</v>
      </c>
      <c r="M14">
        <f>SUMIF(D4:D303,"Surat",F4:F303)</f>
        <v>4464317</v>
      </c>
    </row>
    <row r="15" spans="1:15" ht="18.75" x14ac:dyDescent="0.3">
      <c r="A15" s="1" t="s">
        <v>341</v>
      </c>
      <c r="B15" s="2" t="s">
        <v>342</v>
      </c>
      <c r="C15" s="1" t="s">
        <v>18</v>
      </c>
      <c r="D15" s="1" t="s">
        <v>27</v>
      </c>
      <c r="E15" s="1" t="s">
        <v>343</v>
      </c>
      <c r="F15" s="9">
        <v>69687</v>
      </c>
      <c r="G15" s="9">
        <v>73017</v>
      </c>
      <c r="H15" s="14">
        <v>84.83</v>
      </c>
      <c r="I15">
        <v>3423</v>
      </c>
      <c r="J15" s="1" t="s">
        <v>15</v>
      </c>
      <c r="K15" s="12">
        <f t="shared" si="0"/>
        <v>146211.82999999999</v>
      </c>
    </row>
    <row r="16" spans="1:15" ht="18.75" x14ac:dyDescent="0.3">
      <c r="A16" s="1" t="s">
        <v>51</v>
      </c>
      <c r="B16" s="2" t="s">
        <v>52</v>
      </c>
      <c r="C16" s="1" t="s">
        <v>26</v>
      </c>
      <c r="D16" s="1" t="s">
        <v>53</v>
      </c>
      <c r="E16" s="1" t="s">
        <v>54</v>
      </c>
      <c r="F16" s="9">
        <v>42331</v>
      </c>
      <c r="G16" s="9">
        <v>48083</v>
      </c>
      <c r="H16" s="14">
        <v>96.79</v>
      </c>
      <c r="I16">
        <v>8594</v>
      </c>
      <c r="J16" s="1" t="s">
        <v>36</v>
      </c>
      <c r="K16" s="12">
        <f t="shared" si="0"/>
        <v>99104.79</v>
      </c>
      <c r="M16" s="12">
        <f>SUMIFS(F4:F303,D4:D303,"Anand",C4:C303,"Sales")</f>
        <v>1248920</v>
      </c>
    </row>
    <row r="17" spans="1:13" ht="18.75" x14ac:dyDescent="0.3">
      <c r="A17" s="1" t="s">
        <v>344</v>
      </c>
      <c r="B17" s="2" t="s">
        <v>345</v>
      </c>
      <c r="C17" s="1" t="s">
        <v>26</v>
      </c>
      <c r="D17" s="1" t="s">
        <v>27</v>
      </c>
      <c r="E17" s="1" t="s">
        <v>346</v>
      </c>
      <c r="F17" s="9">
        <v>88545</v>
      </c>
      <c r="G17" s="9">
        <v>97926</v>
      </c>
      <c r="H17" s="14">
        <v>94.41</v>
      </c>
      <c r="I17">
        <v>5849</v>
      </c>
      <c r="J17" s="1" t="s">
        <v>15</v>
      </c>
      <c r="K17" s="12">
        <f t="shared" si="0"/>
        <v>192414.41</v>
      </c>
    </row>
    <row r="18" spans="1:13" ht="18.75" x14ac:dyDescent="0.3">
      <c r="A18" s="1" t="s">
        <v>347</v>
      </c>
      <c r="B18" s="2" t="s">
        <v>348</v>
      </c>
      <c r="C18" s="1" t="s">
        <v>26</v>
      </c>
      <c r="D18" s="1" t="s">
        <v>13</v>
      </c>
      <c r="E18" s="1" t="s">
        <v>349</v>
      </c>
      <c r="F18" s="9">
        <v>72056</v>
      </c>
      <c r="G18" s="9">
        <v>81494</v>
      </c>
      <c r="H18" s="14">
        <v>83.28</v>
      </c>
      <c r="I18">
        <v>3912</v>
      </c>
      <c r="J18" s="1" t="s">
        <v>32</v>
      </c>
      <c r="K18" s="12">
        <f t="shared" si="0"/>
        <v>157545.28</v>
      </c>
      <c r="M18">
        <f>M20</f>
        <v>88</v>
      </c>
    </row>
    <row r="19" spans="1:13" ht="18.75" x14ac:dyDescent="0.3">
      <c r="A19" s="1" t="s">
        <v>350</v>
      </c>
      <c r="B19" s="2" t="s">
        <v>351</v>
      </c>
      <c r="C19" s="1" t="s">
        <v>39</v>
      </c>
      <c r="D19" s="1" t="s">
        <v>22</v>
      </c>
      <c r="E19" s="1" t="s">
        <v>352</v>
      </c>
      <c r="F19" s="9">
        <v>90723</v>
      </c>
      <c r="G19" s="9">
        <v>94603</v>
      </c>
      <c r="H19" s="14">
        <v>91.8</v>
      </c>
      <c r="I19">
        <v>7305</v>
      </c>
      <c r="J19" s="1" t="s">
        <v>15</v>
      </c>
      <c r="K19" s="12">
        <f t="shared" si="0"/>
        <v>192722.8</v>
      </c>
      <c r="M19">
        <f>COUNTIF(C4:C303,"Sales")</f>
        <v>66</v>
      </c>
    </row>
    <row r="20" spans="1:13" ht="18.75" x14ac:dyDescent="0.3">
      <c r="A20" s="1" t="s">
        <v>353</v>
      </c>
      <c r="B20" s="2" t="s">
        <v>354</v>
      </c>
      <c r="C20" s="1" t="s">
        <v>18</v>
      </c>
      <c r="D20" s="1" t="s">
        <v>22</v>
      </c>
      <c r="E20" s="1" t="s">
        <v>355</v>
      </c>
      <c r="F20" s="9">
        <v>42816</v>
      </c>
      <c r="G20" s="9">
        <v>47534</v>
      </c>
      <c r="H20" s="14">
        <v>96.27</v>
      </c>
      <c r="I20">
        <v>6874</v>
      </c>
      <c r="J20" s="1" t="s">
        <v>36</v>
      </c>
      <c r="K20" s="12">
        <f t="shared" si="0"/>
        <v>97320.27</v>
      </c>
      <c r="M20">
        <f>COUNTIF(J4:J303,"Excellent")</f>
        <v>88</v>
      </c>
    </row>
    <row r="21" spans="1:13" ht="18.75" x14ac:dyDescent="0.3">
      <c r="A21" s="1" t="s">
        <v>356</v>
      </c>
      <c r="B21" s="2" t="s">
        <v>357</v>
      </c>
      <c r="C21" s="1" t="s">
        <v>18</v>
      </c>
      <c r="D21" s="1" t="s">
        <v>13</v>
      </c>
      <c r="E21" s="1" t="s">
        <v>358</v>
      </c>
      <c r="F21" s="9">
        <v>96433</v>
      </c>
      <c r="G21" s="9">
        <v>103415</v>
      </c>
      <c r="H21" s="14">
        <v>94.6</v>
      </c>
      <c r="I21">
        <v>4230</v>
      </c>
      <c r="J21" s="1" t="s">
        <v>36</v>
      </c>
      <c r="K21" s="12">
        <f t="shared" si="0"/>
        <v>204172.6</v>
      </c>
    </row>
    <row r="22" spans="1:13" ht="18.75" x14ac:dyDescent="0.3">
      <c r="A22" s="1" t="s">
        <v>359</v>
      </c>
      <c r="B22" s="2" t="s">
        <v>360</v>
      </c>
      <c r="C22" s="1" t="s">
        <v>26</v>
      </c>
      <c r="D22" s="1" t="s">
        <v>13</v>
      </c>
      <c r="E22" s="1" t="s">
        <v>361</v>
      </c>
      <c r="F22" s="9">
        <v>45543</v>
      </c>
      <c r="G22" s="9">
        <v>57341</v>
      </c>
      <c r="H22" s="14">
        <v>82.72</v>
      </c>
      <c r="I22">
        <v>5539</v>
      </c>
      <c r="J22" s="1" t="s">
        <v>36</v>
      </c>
      <c r="K22" s="12">
        <f t="shared" si="0"/>
        <v>108505.72</v>
      </c>
    </row>
    <row r="23" spans="1:13" ht="18.75" x14ac:dyDescent="0.3">
      <c r="A23" s="1" t="s">
        <v>362</v>
      </c>
      <c r="B23" s="2" t="s">
        <v>363</v>
      </c>
      <c r="C23" s="1" t="s">
        <v>18</v>
      </c>
      <c r="D23" s="1" t="s">
        <v>13</v>
      </c>
      <c r="E23" s="1" t="s">
        <v>364</v>
      </c>
      <c r="F23" s="9">
        <v>46970</v>
      </c>
      <c r="G23" s="9">
        <v>52720</v>
      </c>
      <c r="H23" s="14">
        <v>99.31</v>
      </c>
      <c r="I23">
        <v>8848</v>
      </c>
      <c r="J23" s="1" t="s">
        <v>15</v>
      </c>
      <c r="K23" s="12">
        <f t="shared" si="0"/>
        <v>108637.31</v>
      </c>
      <c r="M23">
        <f>COUNTIF(H4:H303,"&gt;90")</f>
        <v>160</v>
      </c>
    </row>
    <row r="24" spans="1:13" ht="18.75" x14ac:dyDescent="0.3">
      <c r="A24" s="1" t="s">
        <v>365</v>
      </c>
      <c r="B24" s="2" t="s">
        <v>366</v>
      </c>
      <c r="C24" s="1" t="s">
        <v>66</v>
      </c>
      <c r="D24" s="1" t="s">
        <v>13</v>
      </c>
      <c r="E24" s="1" t="s">
        <v>367</v>
      </c>
      <c r="F24" s="9">
        <v>110529</v>
      </c>
      <c r="G24" s="9">
        <v>113188</v>
      </c>
      <c r="H24" s="14">
        <v>95.74</v>
      </c>
      <c r="I24">
        <v>3435</v>
      </c>
      <c r="J24" s="1" t="s">
        <v>32</v>
      </c>
      <c r="K24" s="12">
        <f t="shared" si="0"/>
        <v>227247.74</v>
      </c>
      <c r="M24">
        <f>COUNTIF(F4:F303,"&gt;80000")</f>
        <v>144</v>
      </c>
    </row>
    <row r="25" spans="1:13" ht="18.75" x14ac:dyDescent="0.3">
      <c r="A25" s="1" t="s">
        <v>368</v>
      </c>
      <c r="B25" s="2" t="s">
        <v>369</v>
      </c>
      <c r="C25" s="1" t="s">
        <v>66</v>
      </c>
      <c r="D25" s="1" t="s">
        <v>27</v>
      </c>
      <c r="E25" s="1" t="s">
        <v>370</v>
      </c>
      <c r="F25" s="9">
        <v>71458</v>
      </c>
      <c r="G25" s="9">
        <v>76431</v>
      </c>
      <c r="H25" s="14">
        <v>99.95</v>
      </c>
      <c r="I25">
        <v>5570</v>
      </c>
      <c r="J25" s="1" t="s">
        <v>907</v>
      </c>
      <c r="K25" s="12">
        <f t="shared" ref="K25:K88" si="1">SUM(F25:J25)</f>
        <v>153558.95000000001</v>
      </c>
      <c r="M25" t="s">
        <v>909</v>
      </c>
    </row>
    <row r="26" spans="1:13" ht="18.75" x14ac:dyDescent="0.3">
      <c r="A26" s="1" t="s">
        <v>371</v>
      </c>
      <c r="B26" s="2" t="s">
        <v>372</v>
      </c>
      <c r="C26" s="1" t="s">
        <v>39</v>
      </c>
      <c r="D26" s="1" t="s">
        <v>22</v>
      </c>
      <c r="E26" s="1" t="s">
        <v>373</v>
      </c>
      <c r="F26" s="9">
        <v>88523</v>
      </c>
      <c r="G26" s="9">
        <v>95983</v>
      </c>
      <c r="H26" s="14">
        <v>87.78</v>
      </c>
      <c r="I26">
        <v>2856</v>
      </c>
      <c r="J26" s="1" t="s">
        <v>36</v>
      </c>
      <c r="K26" s="12">
        <f t="shared" si="1"/>
        <v>187449.78</v>
      </c>
      <c r="M26">
        <f>COUNTIFS(C4:C303,"Sales",D4:D303,"Anand")</f>
        <v>18</v>
      </c>
    </row>
    <row r="27" spans="1:13" ht="18.75" x14ac:dyDescent="0.3">
      <c r="A27" s="1" t="s">
        <v>55</v>
      </c>
      <c r="B27" s="2" t="s">
        <v>56</v>
      </c>
      <c r="C27" s="1" t="s">
        <v>39</v>
      </c>
      <c r="D27" s="1" t="s">
        <v>53</v>
      </c>
      <c r="E27" s="1" t="s">
        <v>57</v>
      </c>
      <c r="F27" s="9">
        <v>62653</v>
      </c>
      <c r="G27" s="9">
        <v>73945</v>
      </c>
      <c r="H27" s="14">
        <v>97.77</v>
      </c>
      <c r="I27">
        <v>4577</v>
      </c>
      <c r="J27" s="1" t="s">
        <v>36</v>
      </c>
      <c r="K27" s="12">
        <f t="shared" si="1"/>
        <v>141272.76999999999</v>
      </c>
      <c r="M27">
        <f>COUNTIFS(J4:J303,"Excellent",H4:H303,"&gt;90")</f>
        <v>48</v>
      </c>
    </row>
    <row r="28" spans="1:13" ht="18.75" x14ac:dyDescent="0.3">
      <c r="A28" s="1" t="s">
        <v>374</v>
      </c>
      <c r="B28" s="2" t="s">
        <v>375</v>
      </c>
      <c r="C28" s="1" t="s">
        <v>12</v>
      </c>
      <c r="D28" s="1" t="s">
        <v>53</v>
      </c>
      <c r="E28" s="1" t="s">
        <v>376</v>
      </c>
      <c r="F28" s="9">
        <v>72777</v>
      </c>
      <c r="G28" s="9">
        <v>81338</v>
      </c>
      <c r="H28" s="14">
        <v>96.64</v>
      </c>
      <c r="I28">
        <v>6506</v>
      </c>
      <c r="J28" s="1" t="s">
        <v>15</v>
      </c>
      <c r="K28" s="12">
        <f t="shared" si="1"/>
        <v>160717.64000000001</v>
      </c>
      <c r="M28">
        <f>COUNTIFS(C4:C303,"Finance",D4:D303,"Vadodara",J4:J303,"Excellent")</f>
        <v>6</v>
      </c>
    </row>
    <row r="29" spans="1:13" ht="18.75" x14ac:dyDescent="0.3">
      <c r="A29" s="1" t="s">
        <v>377</v>
      </c>
      <c r="B29" s="2" t="s">
        <v>378</v>
      </c>
      <c r="C29" s="1" t="s">
        <v>66</v>
      </c>
      <c r="D29" s="1" t="s">
        <v>13</v>
      </c>
      <c r="E29" s="1" t="s">
        <v>379</v>
      </c>
      <c r="F29" s="9">
        <v>68082</v>
      </c>
      <c r="G29" s="9">
        <v>75378</v>
      </c>
      <c r="H29" s="14">
        <v>84.09</v>
      </c>
      <c r="I29">
        <v>8328</v>
      </c>
      <c r="J29" s="1" t="s">
        <v>15</v>
      </c>
      <c r="K29" s="12">
        <f t="shared" si="1"/>
        <v>151872.09</v>
      </c>
    </row>
    <row r="30" spans="1:13" ht="18.75" x14ac:dyDescent="0.3">
      <c r="A30" s="1" t="s">
        <v>380</v>
      </c>
      <c r="B30" s="2" t="s">
        <v>381</v>
      </c>
      <c r="C30" s="1" t="s">
        <v>26</v>
      </c>
      <c r="D30" s="1" t="s">
        <v>13</v>
      </c>
      <c r="E30" s="1" t="s">
        <v>382</v>
      </c>
      <c r="F30" s="9">
        <v>95552</v>
      </c>
      <c r="G30" s="9">
        <v>104322</v>
      </c>
      <c r="H30" s="14">
        <v>82.98</v>
      </c>
      <c r="I30">
        <v>6247</v>
      </c>
      <c r="J30" s="1" t="s">
        <v>36</v>
      </c>
      <c r="K30" s="12">
        <f t="shared" si="1"/>
        <v>206203.98</v>
      </c>
    </row>
    <row r="31" spans="1:13" ht="18.75" x14ac:dyDescent="0.3">
      <c r="A31" s="1" t="s">
        <v>383</v>
      </c>
      <c r="B31" s="2" t="s">
        <v>384</v>
      </c>
      <c r="C31" s="1" t="s">
        <v>26</v>
      </c>
      <c r="D31" s="1" t="s">
        <v>53</v>
      </c>
      <c r="E31" s="1" t="s">
        <v>385</v>
      </c>
      <c r="F31" s="9">
        <v>41764</v>
      </c>
      <c r="G31" s="9">
        <v>47099</v>
      </c>
      <c r="H31" s="14">
        <v>86.81</v>
      </c>
      <c r="I31">
        <v>3073</v>
      </c>
      <c r="J31" s="1" t="s">
        <v>32</v>
      </c>
      <c r="K31" s="12">
        <f t="shared" si="1"/>
        <v>92022.81</v>
      </c>
    </row>
    <row r="32" spans="1:13" ht="18.75" x14ac:dyDescent="0.3">
      <c r="A32" s="1" t="s">
        <v>386</v>
      </c>
      <c r="B32" s="2" t="s">
        <v>387</v>
      </c>
      <c r="C32" s="1" t="s">
        <v>39</v>
      </c>
      <c r="D32" s="1" t="s">
        <v>43</v>
      </c>
      <c r="E32" s="1" t="s">
        <v>388</v>
      </c>
      <c r="F32" s="9">
        <v>50915</v>
      </c>
      <c r="G32" s="9">
        <v>53387</v>
      </c>
      <c r="H32" s="14">
        <v>99.52</v>
      </c>
      <c r="I32">
        <v>6987</v>
      </c>
      <c r="J32" s="1" t="s">
        <v>36</v>
      </c>
      <c r="K32" s="12">
        <f t="shared" si="1"/>
        <v>111388.52</v>
      </c>
    </row>
    <row r="33" spans="1:11" ht="18.75" x14ac:dyDescent="0.3">
      <c r="A33" s="1" t="s">
        <v>389</v>
      </c>
      <c r="B33" s="2" t="s">
        <v>390</v>
      </c>
      <c r="C33" s="1" t="s">
        <v>12</v>
      </c>
      <c r="D33" s="1" t="s">
        <v>53</v>
      </c>
      <c r="E33" s="1" t="s">
        <v>391</v>
      </c>
      <c r="F33" s="9">
        <v>36792</v>
      </c>
      <c r="G33" s="9">
        <v>47840</v>
      </c>
      <c r="H33" s="14">
        <v>89.34</v>
      </c>
      <c r="I33">
        <v>3840</v>
      </c>
      <c r="J33" s="1" t="s">
        <v>15</v>
      </c>
      <c r="K33" s="12">
        <f t="shared" si="1"/>
        <v>88561.34</v>
      </c>
    </row>
    <row r="34" spans="1:11" ht="18.75" x14ac:dyDescent="0.3">
      <c r="A34" s="1" t="s">
        <v>392</v>
      </c>
      <c r="B34" s="2" t="s">
        <v>393</v>
      </c>
      <c r="C34" s="1" t="s">
        <v>66</v>
      </c>
      <c r="D34" s="1" t="s">
        <v>53</v>
      </c>
      <c r="E34" s="1" t="s">
        <v>394</v>
      </c>
      <c r="F34" s="9">
        <v>100323</v>
      </c>
      <c r="G34" s="9">
        <v>107104</v>
      </c>
      <c r="H34" s="14">
        <v>91.16</v>
      </c>
      <c r="I34">
        <v>4239</v>
      </c>
      <c r="J34" s="1" t="s">
        <v>36</v>
      </c>
      <c r="K34" s="12">
        <f t="shared" si="1"/>
        <v>211757.16</v>
      </c>
    </row>
    <row r="35" spans="1:11" ht="18.75" x14ac:dyDescent="0.3">
      <c r="A35" s="1" t="s">
        <v>395</v>
      </c>
      <c r="B35" s="2" t="s">
        <v>396</v>
      </c>
      <c r="C35" s="1" t="s">
        <v>18</v>
      </c>
      <c r="D35" s="1" t="s">
        <v>13</v>
      </c>
      <c r="E35" s="1" t="s">
        <v>397</v>
      </c>
      <c r="F35" s="9">
        <v>94871</v>
      </c>
      <c r="G35" s="9">
        <v>105902</v>
      </c>
      <c r="H35" s="14">
        <v>84.6</v>
      </c>
      <c r="I35">
        <v>3561</v>
      </c>
      <c r="J35" s="1" t="s">
        <v>32</v>
      </c>
      <c r="K35" s="12">
        <f t="shared" si="1"/>
        <v>204418.6</v>
      </c>
    </row>
    <row r="36" spans="1:11" ht="18.75" x14ac:dyDescent="0.3">
      <c r="A36" s="1" t="s">
        <v>398</v>
      </c>
      <c r="B36" s="2" t="s">
        <v>399</v>
      </c>
      <c r="C36" s="1" t="s">
        <v>66</v>
      </c>
      <c r="D36" s="1" t="s">
        <v>22</v>
      </c>
      <c r="E36" s="1" t="s">
        <v>400</v>
      </c>
      <c r="F36" s="9">
        <v>44150</v>
      </c>
      <c r="G36" s="9">
        <v>50676</v>
      </c>
      <c r="H36" s="14">
        <v>95.91</v>
      </c>
      <c r="I36">
        <v>8999</v>
      </c>
      <c r="J36" s="1" t="s">
        <v>32</v>
      </c>
      <c r="K36" s="12">
        <f t="shared" si="1"/>
        <v>103920.91</v>
      </c>
    </row>
    <row r="37" spans="1:11" ht="18.75" x14ac:dyDescent="0.3">
      <c r="A37" s="1" t="s">
        <v>401</v>
      </c>
      <c r="B37" s="2" t="s">
        <v>402</v>
      </c>
      <c r="C37" s="1" t="s">
        <v>18</v>
      </c>
      <c r="D37" s="1" t="s">
        <v>13</v>
      </c>
      <c r="E37" s="1" t="s">
        <v>403</v>
      </c>
      <c r="F37" s="9">
        <v>35336</v>
      </c>
      <c r="G37" s="9">
        <v>41970</v>
      </c>
      <c r="H37" s="14">
        <v>95.07</v>
      </c>
      <c r="I37">
        <v>8860</v>
      </c>
      <c r="J37" s="1" t="s">
        <v>32</v>
      </c>
      <c r="K37" s="12">
        <f t="shared" si="1"/>
        <v>86261.07</v>
      </c>
    </row>
    <row r="38" spans="1:11" ht="18.75" x14ac:dyDescent="0.3">
      <c r="A38" s="1" t="s">
        <v>58</v>
      </c>
      <c r="B38" s="2" t="s">
        <v>59</v>
      </c>
      <c r="C38" s="1" t="s">
        <v>18</v>
      </c>
      <c r="D38" s="1" t="s">
        <v>13</v>
      </c>
      <c r="E38" s="1" t="s">
        <v>60</v>
      </c>
      <c r="F38" s="9">
        <v>53726</v>
      </c>
      <c r="G38" s="9">
        <v>60065</v>
      </c>
      <c r="H38" s="14">
        <v>84.51</v>
      </c>
      <c r="I38">
        <v>8102</v>
      </c>
      <c r="J38" s="1" t="s">
        <v>36</v>
      </c>
      <c r="K38" s="12">
        <f t="shared" si="1"/>
        <v>121977.51</v>
      </c>
    </row>
    <row r="39" spans="1:11" ht="18.75" x14ac:dyDescent="0.3">
      <c r="A39" s="1" t="s">
        <v>404</v>
      </c>
      <c r="B39" s="2" t="s">
        <v>405</v>
      </c>
      <c r="C39" s="1" t="s">
        <v>26</v>
      </c>
      <c r="D39" s="1" t="s">
        <v>13</v>
      </c>
      <c r="E39" s="1" t="s">
        <v>406</v>
      </c>
      <c r="F39" s="9">
        <v>54476</v>
      </c>
      <c r="G39" s="9">
        <v>63792</v>
      </c>
      <c r="H39" s="14">
        <v>91.69</v>
      </c>
      <c r="I39">
        <v>4827</v>
      </c>
      <c r="J39" s="1" t="s">
        <v>32</v>
      </c>
      <c r="K39" s="12">
        <f t="shared" si="1"/>
        <v>123186.69</v>
      </c>
    </row>
    <row r="40" spans="1:11" ht="18.75" x14ac:dyDescent="0.3">
      <c r="A40" s="1" t="s">
        <v>407</v>
      </c>
      <c r="B40" s="2" t="s">
        <v>408</v>
      </c>
      <c r="C40" s="1" t="s">
        <v>39</v>
      </c>
      <c r="D40" s="1" t="s">
        <v>13</v>
      </c>
      <c r="E40" s="1" t="s">
        <v>409</v>
      </c>
      <c r="F40" s="9">
        <v>94682</v>
      </c>
      <c r="G40" s="9">
        <v>101954</v>
      </c>
      <c r="H40" s="14">
        <v>97.65</v>
      </c>
      <c r="I40">
        <v>7713</v>
      </c>
      <c r="J40" s="1" t="s">
        <v>36</v>
      </c>
      <c r="K40" s="12">
        <f t="shared" si="1"/>
        <v>204446.65</v>
      </c>
    </row>
    <row r="41" spans="1:11" ht="18.75" x14ac:dyDescent="0.3">
      <c r="A41" s="1" t="s">
        <v>410</v>
      </c>
      <c r="B41" s="2" t="s">
        <v>411</v>
      </c>
      <c r="C41" s="1" t="s">
        <v>66</v>
      </c>
      <c r="D41" s="1" t="s">
        <v>53</v>
      </c>
      <c r="E41" s="1" t="s">
        <v>412</v>
      </c>
      <c r="F41" s="9">
        <v>88841</v>
      </c>
      <c r="G41" s="9">
        <v>91556</v>
      </c>
      <c r="H41" s="14">
        <v>87.73</v>
      </c>
      <c r="I41">
        <v>5874</v>
      </c>
      <c r="J41" s="1" t="s">
        <v>32</v>
      </c>
      <c r="K41" s="12">
        <f t="shared" si="1"/>
        <v>186358.73</v>
      </c>
    </row>
    <row r="42" spans="1:11" ht="18.75" x14ac:dyDescent="0.3">
      <c r="A42" s="1" t="s">
        <v>413</v>
      </c>
      <c r="B42" s="2" t="s">
        <v>414</v>
      </c>
      <c r="C42" s="1" t="s">
        <v>26</v>
      </c>
      <c r="D42" s="1" t="s">
        <v>27</v>
      </c>
      <c r="E42" s="1" t="s">
        <v>415</v>
      </c>
      <c r="F42" s="9">
        <v>99923</v>
      </c>
      <c r="G42" s="9">
        <v>102529</v>
      </c>
      <c r="H42" s="14">
        <v>84.27</v>
      </c>
      <c r="I42">
        <v>6834</v>
      </c>
      <c r="J42" s="1" t="s">
        <v>36</v>
      </c>
      <c r="K42" s="12">
        <f t="shared" si="1"/>
        <v>209370.27</v>
      </c>
    </row>
    <row r="43" spans="1:11" ht="18.75" x14ac:dyDescent="0.3">
      <c r="A43" s="1" t="s">
        <v>416</v>
      </c>
      <c r="B43" s="2" t="s">
        <v>417</v>
      </c>
      <c r="C43" s="1" t="s">
        <v>66</v>
      </c>
      <c r="D43" s="1" t="s">
        <v>43</v>
      </c>
      <c r="E43" s="1" t="s">
        <v>418</v>
      </c>
      <c r="F43" s="9">
        <v>103937</v>
      </c>
      <c r="G43" s="9">
        <v>113423</v>
      </c>
      <c r="H43" s="14">
        <v>82.28</v>
      </c>
      <c r="I43">
        <v>3180</v>
      </c>
      <c r="J43" s="1" t="s">
        <v>15</v>
      </c>
      <c r="K43" s="12">
        <f t="shared" si="1"/>
        <v>220622.28</v>
      </c>
    </row>
    <row r="44" spans="1:11" ht="18.75" x14ac:dyDescent="0.3">
      <c r="A44" s="1" t="s">
        <v>419</v>
      </c>
      <c r="B44" s="2" t="s">
        <v>420</v>
      </c>
      <c r="C44" s="1" t="s">
        <v>12</v>
      </c>
      <c r="D44" s="1" t="s">
        <v>22</v>
      </c>
      <c r="E44" s="1" t="s">
        <v>421</v>
      </c>
      <c r="F44" s="9">
        <v>69737</v>
      </c>
      <c r="G44" s="9">
        <v>77283</v>
      </c>
      <c r="H44" s="14">
        <v>93.22</v>
      </c>
      <c r="I44">
        <v>5256</v>
      </c>
      <c r="J44" s="1" t="s">
        <v>32</v>
      </c>
      <c r="K44" s="12">
        <f t="shared" si="1"/>
        <v>152369.22</v>
      </c>
    </row>
    <row r="45" spans="1:11" ht="18.75" x14ac:dyDescent="0.3">
      <c r="A45" s="1" t="s">
        <v>422</v>
      </c>
      <c r="B45" s="2" t="s">
        <v>423</v>
      </c>
      <c r="C45" s="1" t="s">
        <v>66</v>
      </c>
      <c r="D45" s="1" t="s">
        <v>13</v>
      </c>
      <c r="E45" s="1" t="s">
        <v>424</v>
      </c>
      <c r="F45" s="9">
        <v>84808</v>
      </c>
      <c r="G45" s="9">
        <v>91996</v>
      </c>
      <c r="H45" s="14">
        <v>93.28</v>
      </c>
      <c r="I45">
        <v>8221</v>
      </c>
      <c r="J45" s="1" t="s">
        <v>15</v>
      </c>
      <c r="K45" s="12">
        <f t="shared" si="1"/>
        <v>185118.28</v>
      </c>
    </row>
    <row r="46" spans="1:11" ht="18.75" x14ac:dyDescent="0.3">
      <c r="A46" s="1" t="s">
        <v>425</v>
      </c>
      <c r="B46" s="2" t="s">
        <v>426</v>
      </c>
      <c r="C46" s="1" t="s">
        <v>12</v>
      </c>
      <c r="D46" s="1" t="s">
        <v>53</v>
      </c>
      <c r="E46" s="1" t="s">
        <v>427</v>
      </c>
      <c r="F46" s="9">
        <v>65771</v>
      </c>
      <c r="G46" s="9">
        <v>72479</v>
      </c>
      <c r="H46" s="14">
        <v>99.95</v>
      </c>
      <c r="I46">
        <v>8117</v>
      </c>
      <c r="J46" s="1" t="s">
        <v>15</v>
      </c>
      <c r="K46" s="12">
        <f t="shared" si="1"/>
        <v>146466.95000000001</v>
      </c>
    </row>
    <row r="47" spans="1:11" ht="18.75" x14ac:dyDescent="0.3">
      <c r="A47" s="1" t="s">
        <v>428</v>
      </c>
      <c r="B47" s="2" t="s">
        <v>429</v>
      </c>
      <c r="C47" s="1" t="s">
        <v>12</v>
      </c>
      <c r="D47" s="1" t="s">
        <v>22</v>
      </c>
      <c r="E47" s="1" t="s">
        <v>430</v>
      </c>
      <c r="F47" s="9">
        <v>93153</v>
      </c>
      <c r="G47" s="9">
        <v>97878</v>
      </c>
      <c r="H47" s="14">
        <v>94.49</v>
      </c>
      <c r="I47">
        <v>2237</v>
      </c>
      <c r="J47" s="1" t="s">
        <v>15</v>
      </c>
      <c r="K47" s="12">
        <f t="shared" si="1"/>
        <v>193362.49</v>
      </c>
    </row>
    <row r="48" spans="1:11" ht="18.75" x14ac:dyDescent="0.3">
      <c r="A48" s="1" t="s">
        <v>431</v>
      </c>
      <c r="B48" s="2" t="s">
        <v>432</v>
      </c>
      <c r="C48" s="1" t="s">
        <v>18</v>
      </c>
      <c r="D48" s="1" t="s">
        <v>53</v>
      </c>
      <c r="E48" s="1" t="s">
        <v>433</v>
      </c>
      <c r="F48" s="9">
        <v>81984</v>
      </c>
      <c r="G48" s="9">
        <v>90125</v>
      </c>
      <c r="H48" s="14">
        <v>89.75</v>
      </c>
      <c r="I48">
        <v>4000</v>
      </c>
      <c r="J48" s="1" t="s">
        <v>32</v>
      </c>
      <c r="K48" s="12">
        <f t="shared" si="1"/>
        <v>176198.75</v>
      </c>
    </row>
    <row r="49" spans="1:11" ht="18.75" x14ac:dyDescent="0.3">
      <c r="A49" s="1" t="s">
        <v>61</v>
      </c>
      <c r="B49" s="2" t="s">
        <v>62</v>
      </c>
      <c r="C49" s="1" t="s">
        <v>39</v>
      </c>
      <c r="D49" s="1" t="s">
        <v>13</v>
      </c>
      <c r="E49" s="1" t="s">
        <v>63</v>
      </c>
      <c r="F49" s="9">
        <v>91155</v>
      </c>
      <c r="G49" s="9">
        <v>102715</v>
      </c>
      <c r="H49" s="14">
        <v>89.19</v>
      </c>
      <c r="I49">
        <v>3796</v>
      </c>
      <c r="J49" s="1" t="s">
        <v>36</v>
      </c>
      <c r="K49" s="12">
        <f t="shared" si="1"/>
        <v>197755.19</v>
      </c>
    </row>
    <row r="50" spans="1:11" ht="18.75" x14ac:dyDescent="0.3">
      <c r="A50" s="1" t="s">
        <v>434</v>
      </c>
      <c r="B50" s="2" t="s">
        <v>435</v>
      </c>
      <c r="C50" s="1" t="s">
        <v>18</v>
      </c>
      <c r="D50" s="1" t="s">
        <v>43</v>
      </c>
      <c r="E50" s="1" t="s">
        <v>436</v>
      </c>
      <c r="F50" s="9">
        <v>57280</v>
      </c>
      <c r="G50" s="9">
        <v>62148</v>
      </c>
      <c r="H50" s="14">
        <v>83.42</v>
      </c>
      <c r="I50">
        <v>5133</v>
      </c>
      <c r="J50" s="1" t="s">
        <v>36</v>
      </c>
      <c r="K50" s="12">
        <f t="shared" si="1"/>
        <v>124644.42</v>
      </c>
    </row>
    <row r="51" spans="1:11" ht="18.75" x14ac:dyDescent="0.3">
      <c r="A51" s="1" t="s">
        <v>437</v>
      </c>
      <c r="B51" s="2" t="s">
        <v>438</v>
      </c>
      <c r="C51" s="1" t="s">
        <v>66</v>
      </c>
      <c r="D51" s="1" t="s">
        <v>22</v>
      </c>
      <c r="E51" s="1" t="s">
        <v>439</v>
      </c>
      <c r="F51" s="9">
        <v>53758</v>
      </c>
      <c r="G51" s="9">
        <v>59562</v>
      </c>
      <c r="H51" s="14">
        <v>90.3</v>
      </c>
      <c r="I51">
        <v>4080</v>
      </c>
      <c r="J51" s="1" t="s">
        <v>32</v>
      </c>
      <c r="K51" s="12">
        <f t="shared" si="1"/>
        <v>117490.3</v>
      </c>
    </row>
    <row r="52" spans="1:11" ht="18.75" x14ac:dyDescent="0.3">
      <c r="A52" s="1" t="s">
        <v>440</v>
      </c>
      <c r="B52" s="2" t="s">
        <v>441</v>
      </c>
      <c r="C52" s="1" t="s">
        <v>12</v>
      </c>
      <c r="D52" s="1" t="s">
        <v>53</v>
      </c>
      <c r="E52" s="1" t="s">
        <v>442</v>
      </c>
      <c r="F52" s="9">
        <v>95981</v>
      </c>
      <c r="G52" s="9">
        <v>102693</v>
      </c>
      <c r="H52" s="14">
        <v>94.2</v>
      </c>
      <c r="I52">
        <v>3294</v>
      </c>
      <c r="J52" s="1" t="s">
        <v>36</v>
      </c>
      <c r="K52" s="12">
        <f t="shared" si="1"/>
        <v>202062.2</v>
      </c>
    </row>
    <row r="53" spans="1:11" ht="18.75" x14ac:dyDescent="0.3">
      <c r="A53" s="1" t="s">
        <v>443</v>
      </c>
      <c r="B53" s="2" t="s">
        <v>444</v>
      </c>
      <c r="C53" s="1" t="s">
        <v>26</v>
      </c>
      <c r="D53" s="1" t="s">
        <v>43</v>
      </c>
      <c r="E53" s="1" t="s">
        <v>445</v>
      </c>
      <c r="F53" s="9">
        <v>118746</v>
      </c>
      <c r="G53" s="9">
        <v>127697</v>
      </c>
      <c r="H53" s="14">
        <v>94.43</v>
      </c>
      <c r="I53">
        <v>5742</v>
      </c>
      <c r="J53" s="1" t="s">
        <v>36</v>
      </c>
      <c r="K53" s="12">
        <f t="shared" si="1"/>
        <v>252279.43</v>
      </c>
    </row>
    <row r="54" spans="1:11" ht="18.75" x14ac:dyDescent="0.3">
      <c r="A54" s="1" t="s">
        <v>446</v>
      </c>
      <c r="B54" s="2" t="s">
        <v>447</v>
      </c>
      <c r="C54" s="1" t="s">
        <v>18</v>
      </c>
      <c r="D54" s="1" t="s">
        <v>22</v>
      </c>
      <c r="E54" s="1" t="s">
        <v>448</v>
      </c>
      <c r="F54" s="9">
        <v>48979</v>
      </c>
      <c r="G54" s="9">
        <v>54865</v>
      </c>
      <c r="H54" s="14">
        <v>88.86</v>
      </c>
      <c r="I54">
        <v>4940</v>
      </c>
      <c r="J54" s="1" t="s">
        <v>32</v>
      </c>
      <c r="K54" s="12">
        <f t="shared" si="1"/>
        <v>108872.86</v>
      </c>
    </row>
    <row r="55" spans="1:11" ht="18.75" x14ac:dyDescent="0.3">
      <c r="A55" s="1" t="s">
        <v>449</v>
      </c>
      <c r="B55" s="2" t="s">
        <v>450</v>
      </c>
      <c r="C55" s="1" t="s">
        <v>12</v>
      </c>
      <c r="D55" s="1" t="s">
        <v>13</v>
      </c>
      <c r="E55" s="1" t="s">
        <v>451</v>
      </c>
      <c r="F55" s="9">
        <v>37875</v>
      </c>
      <c r="G55" s="9">
        <v>46359</v>
      </c>
      <c r="H55" s="14">
        <v>86.94</v>
      </c>
      <c r="I55">
        <v>6636</v>
      </c>
      <c r="J55" s="1" t="s">
        <v>32</v>
      </c>
      <c r="K55" s="12">
        <f t="shared" si="1"/>
        <v>90956.94</v>
      </c>
    </row>
    <row r="56" spans="1:11" ht="18.75" x14ac:dyDescent="0.3">
      <c r="A56" s="1" t="s">
        <v>452</v>
      </c>
      <c r="B56" s="2" t="s">
        <v>453</v>
      </c>
      <c r="C56" s="1" t="s">
        <v>39</v>
      </c>
      <c r="D56" s="1" t="s">
        <v>43</v>
      </c>
      <c r="E56" s="1" t="s">
        <v>454</v>
      </c>
      <c r="F56" s="9">
        <v>72512</v>
      </c>
      <c r="G56" s="9">
        <v>78282</v>
      </c>
      <c r="H56" s="14">
        <v>92.93</v>
      </c>
      <c r="I56">
        <v>4886</v>
      </c>
      <c r="J56" s="1" t="s">
        <v>32</v>
      </c>
      <c r="K56" s="12">
        <f t="shared" si="1"/>
        <v>155772.93</v>
      </c>
    </row>
    <row r="57" spans="1:11" ht="18.75" x14ac:dyDescent="0.3">
      <c r="A57" s="1" t="s">
        <v>455</v>
      </c>
      <c r="B57" s="2" t="s">
        <v>456</v>
      </c>
      <c r="C57" s="1" t="s">
        <v>12</v>
      </c>
      <c r="D57" s="1" t="s">
        <v>22</v>
      </c>
      <c r="E57" s="1" t="s">
        <v>457</v>
      </c>
      <c r="F57" s="9">
        <v>52927</v>
      </c>
      <c r="G57" s="9">
        <v>56518</v>
      </c>
      <c r="H57" s="14">
        <v>98.26</v>
      </c>
      <c r="I57">
        <v>7294</v>
      </c>
      <c r="J57" s="1" t="s">
        <v>36</v>
      </c>
      <c r="K57" s="12">
        <f t="shared" si="1"/>
        <v>116837.26</v>
      </c>
    </row>
    <row r="58" spans="1:11" ht="18.75" x14ac:dyDescent="0.3">
      <c r="A58" s="1" t="s">
        <v>458</v>
      </c>
      <c r="B58" s="2" t="s">
        <v>459</v>
      </c>
      <c r="C58" s="1" t="s">
        <v>26</v>
      </c>
      <c r="D58" s="1" t="s">
        <v>22</v>
      </c>
      <c r="E58" s="1" t="s">
        <v>460</v>
      </c>
      <c r="F58" s="9">
        <v>110965</v>
      </c>
      <c r="G58" s="9">
        <v>118942</v>
      </c>
      <c r="H58" s="14">
        <v>95.18</v>
      </c>
      <c r="I58">
        <v>2738</v>
      </c>
      <c r="J58" s="1" t="s">
        <v>32</v>
      </c>
      <c r="K58" s="12">
        <f t="shared" si="1"/>
        <v>232740.18</v>
      </c>
    </row>
    <row r="59" spans="1:11" ht="18.75" x14ac:dyDescent="0.3">
      <c r="A59" s="1" t="s">
        <v>461</v>
      </c>
      <c r="B59" s="2" t="s">
        <v>462</v>
      </c>
      <c r="C59" s="1" t="s">
        <v>26</v>
      </c>
      <c r="D59" s="1" t="s">
        <v>13</v>
      </c>
      <c r="E59" s="1" t="s">
        <v>463</v>
      </c>
      <c r="F59" s="9">
        <v>58021</v>
      </c>
      <c r="G59" s="9">
        <v>63310</v>
      </c>
      <c r="H59" s="14">
        <v>84.38</v>
      </c>
      <c r="I59">
        <v>6418</v>
      </c>
      <c r="J59" s="1" t="s">
        <v>32</v>
      </c>
      <c r="K59" s="12">
        <f t="shared" si="1"/>
        <v>127833.38</v>
      </c>
    </row>
    <row r="60" spans="1:11" ht="18.75" x14ac:dyDescent="0.3">
      <c r="A60" s="1" t="s">
        <v>64</v>
      </c>
      <c r="B60" s="2" t="s">
        <v>65</v>
      </c>
      <c r="C60" s="1" t="s">
        <v>66</v>
      </c>
      <c r="D60" s="1" t="s">
        <v>13</v>
      </c>
      <c r="E60" s="1" t="s">
        <v>67</v>
      </c>
      <c r="F60" s="9">
        <v>41175</v>
      </c>
      <c r="G60" s="9">
        <v>44971</v>
      </c>
      <c r="H60" s="14">
        <v>84.75</v>
      </c>
      <c r="I60">
        <v>3310</v>
      </c>
      <c r="J60" s="1" t="s">
        <v>15</v>
      </c>
      <c r="K60" s="12">
        <f t="shared" si="1"/>
        <v>89540.75</v>
      </c>
    </row>
    <row r="61" spans="1:11" ht="18.75" x14ac:dyDescent="0.3">
      <c r="A61" s="1" t="s">
        <v>464</v>
      </c>
      <c r="B61" s="2" t="s">
        <v>465</v>
      </c>
      <c r="C61" s="1" t="s">
        <v>26</v>
      </c>
      <c r="D61" s="1" t="s">
        <v>22</v>
      </c>
      <c r="E61" s="1" t="s">
        <v>466</v>
      </c>
      <c r="F61" s="9">
        <v>56567</v>
      </c>
      <c r="G61" s="9">
        <v>62777</v>
      </c>
      <c r="H61" s="14">
        <v>98.45</v>
      </c>
      <c r="I61">
        <v>5947</v>
      </c>
      <c r="J61" s="1" t="s">
        <v>15</v>
      </c>
      <c r="K61" s="12">
        <f t="shared" si="1"/>
        <v>125389.45</v>
      </c>
    </row>
    <row r="62" spans="1:11" ht="18.75" x14ac:dyDescent="0.3">
      <c r="A62" s="1" t="s">
        <v>467</v>
      </c>
      <c r="B62" s="2" t="s">
        <v>468</v>
      </c>
      <c r="C62" s="1" t="s">
        <v>66</v>
      </c>
      <c r="D62" s="1" t="s">
        <v>13</v>
      </c>
      <c r="E62" s="1" t="s">
        <v>469</v>
      </c>
      <c r="F62" s="9">
        <v>44869</v>
      </c>
      <c r="G62" s="9">
        <v>49175</v>
      </c>
      <c r="H62" s="14">
        <v>95.57</v>
      </c>
      <c r="I62">
        <v>3848</v>
      </c>
      <c r="J62" s="1" t="s">
        <v>36</v>
      </c>
      <c r="K62" s="12">
        <f t="shared" si="1"/>
        <v>97987.57</v>
      </c>
    </row>
    <row r="63" spans="1:11" ht="18.75" x14ac:dyDescent="0.3">
      <c r="A63" s="1" t="s">
        <v>470</v>
      </c>
      <c r="B63" s="2" t="s">
        <v>471</v>
      </c>
      <c r="C63" s="1" t="s">
        <v>66</v>
      </c>
      <c r="D63" s="1" t="s">
        <v>22</v>
      </c>
      <c r="E63" s="1" t="s">
        <v>472</v>
      </c>
      <c r="F63" s="9">
        <v>86717</v>
      </c>
      <c r="G63" s="9">
        <v>88945</v>
      </c>
      <c r="H63" s="14">
        <v>86.76</v>
      </c>
      <c r="I63">
        <v>3012</v>
      </c>
      <c r="J63" s="1" t="s">
        <v>32</v>
      </c>
      <c r="K63" s="12">
        <f t="shared" si="1"/>
        <v>178760.76</v>
      </c>
    </row>
    <row r="64" spans="1:11" ht="18.75" x14ac:dyDescent="0.3">
      <c r="A64" s="1" t="s">
        <v>473</v>
      </c>
      <c r="B64" s="2" t="s">
        <v>474</v>
      </c>
      <c r="C64" s="1" t="s">
        <v>12</v>
      </c>
      <c r="D64" s="1" t="s">
        <v>43</v>
      </c>
      <c r="E64" s="1" t="s">
        <v>475</v>
      </c>
      <c r="F64" s="9">
        <v>111619</v>
      </c>
      <c r="G64" s="9">
        <v>119861</v>
      </c>
      <c r="H64" s="14">
        <v>96.8</v>
      </c>
      <c r="I64">
        <v>5043</v>
      </c>
      <c r="J64" s="1" t="s">
        <v>36</v>
      </c>
      <c r="K64" s="12">
        <f t="shared" si="1"/>
        <v>236619.8</v>
      </c>
    </row>
    <row r="65" spans="1:11" ht="18.75" x14ac:dyDescent="0.3">
      <c r="A65" s="1" t="s">
        <v>476</v>
      </c>
      <c r="B65" s="2" t="s">
        <v>477</v>
      </c>
      <c r="C65" s="1" t="s">
        <v>39</v>
      </c>
      <c r="D65" s="1" t="s">
        <v>27</v>
      </c>
      <c r="E65" s="1" t="s">
        <v>478</v>
      </c>
      <c r="F65" s="9">
        <v>116205</v>
      </c>
      <c r="G65" s="9">
        <v>127403</v>
      </c>
      <c r="H65" s="14">
        <v>87.9</v>
      </c>
      <c r="I65">
        <v>6997</v>
      </c>
      <c r="J65" s="1" t="s">
        <v>32</v>
      </c>
      <c r="K65" s="12">
        <f t="shared" si="1"/>
        <v>250692.9</v>
      </c>
    </row>
    <row r="66" spans="1:11" ht="18.75" x14ac:dyDescent="0.3">
      <c r="A66" s="1" t="s">
        <v>479</v>
      </c>
      <c r="B66" s="2" t="s">
        <v>480</v>
      </c>
      <c r="C66" s="1" t="s">
        <v>12</v>
      </c>
      <c r="D66" s="1" t="s">
        <v>22</v>
      </c>
      <c r="E66" s="1" t="s">
        <v>481</v>
      </c>
      <c r="F66" s="9">
        <v>74608</v>
      </c>
      <c r="G66" s="9">
        <v>83297</v>
      </c>
      <c r="H66" s="14">
        <v>84.1</v>
      </c>
      <c r="I66">
        <v>2371</v>
      </c>
      <c r="J66" s="1" t="s">
        <v>36</v>
      </c>
      <c r="K66" s="12">
        <f t="shared" si="1"/>
        <v>160360.1</v>
      </c>
    </row>
    <row r="67" spans="1:11" ht="18.75" x14ac:dyDescent="0.3">
      <c r="A67" s="1" t="s">
        <v>482</v>
      </c>
      <c r="B67" s="2" t="s">
        <v>483</v>
      </c>
      <c r="C67" s="1" t="s">
        <v>66</v>
      </c>
      <c r="D67" s="1" t="s">
        <v>53</v>
      </c>
      <c r="E67" s="1" t="s">
        <v>484</v>
      </c>
      <c r="F67" s="9">
        <v>47739</v>
      </c>
      <c r="G67" s="9">
        <v>53585</v>
      </c>
      <c r="H67" s="14">
        <v>97.97</v>
      </c>
      <c r="I67">
        <v>3111</v>
      </c>
      <c r="J67" s="1" t="s">
        <v>36</v>
      </c>
      <c r="K67" s="12">
        <f t="shared" si="1"/>
        <v>104532.97</v>
      </c>
    </row>
    <row r="68" spans="1:11" ht="18.75" x14ac:dyDescent="0.3">
      <c r="A68" s="1" t="s">
        <v>485</v>
      </c>
      <c r="B68" s="2" t="s">
        <v>486</v>
      </c>
      <c r="C68" s="1" t="s">
        <v>66</v>
      </c>
      <c r="D68" s="1" t="s">
        <v>27</v>
      </c>
      <c r="E68" s="1" t="s">
        <v>487</v>
      </c>
      <c r="F68" s="9">
        <v>89935</v>
      </c>
      <c r="G68" s="9">
        <v>101557</v>
      </c>
      <c r="H68" s="14">
        <v>95.36</v>
      </c>
      <c r="I68">
        <v>3265</v>
      </c>
      <c r="J68" s="1" t="s">
        <v>907</v>
      </c>
      <c r="K68" s="12">
        <f t="shared" si="1"/>
        <v>194852.36</v>
      </c>
    </row>
    <row r="69" spans="1:11" ht="18.75" x14ac:dyDescent="0.3">
      <c r="A69" s="1" t="s">
        <v>488</v>
      </c>
      <c r="B69" s="2" t="s">
        <v>489</v>
      </c>
      <c r="C69" s="1" t="s">
        <v>66</v>
      </c>
      <c r="D69" s="1" t="s">
        <v>53</v>
      </c>
      <c r="E69" s="1" t="s">
        <v>490</v>
      </c>
      <c r="F69" s="9">
        <v>71666</v>
      </c>
      <c r="G69" s="9">
        <v>74202</v>
      </c>
      <c r="H69" s="14">
        <v>94.43</v>
      </c>
      <c r="I69">
        <v>3779</v>
      </c>
      <c r="J69" s="1" t="s">
        <v>15</v>
      </c>
      <c r="K69" s="12">
        <f t="shared" si="1"/>
        <v>149741.43</v>
      </c>
    </row>
    <row r="70" spans="1:11" ht="18.75" x14ac:dyDescent="0.3">
      <c r="A70" s="1" t="s">
        <v>491</v>
      </c>
      <c r="B70" s="2" t="s">
        <v>492</v>
      </c>
      <c r="C70" s="1" t="s">
        <v>26</v>
      </c>
      <c r="D70" s="1" t="s">
        <v>27</v>
      </c>
      <c r="E70" s="1" t="s">
        <v>493</v>
      </c>
      <c r="F70" s="9">
        <v>48022</v>
      </c>
      <c r="G70" s="9">
        <v>56040</v>
      </c>
      <c r="H70" s="14">
        <v>91.8</v>
      </c>
      <c r="I70">
        <v>7282</v>
      </c>
      <c r="J70" s="1" t="s">
        <v>36</v>
      </c>
      <c r="K70" s="12">
        <f t="shared" si="1"/>
        <v>111435.8</v>
      </c>
    </row>
    <row r="71" spans="1:11" ht="18.75" x14ac:dyDescent="0.3">
      <c r="A71" s="1" t="s">
        <v>68</v>
      </c>
      <c r="B71" s="2" t="s">
        <v>69</v>
      </c>
      <c r="C71" s="1" t="s">
        <v>26</v>
      </c>
      <c r="D71" s="1" t="s">
        <v>13</v>
      </c>
      <c r="E71" s="1" t="s">
        <v>70</v>
      </c>
      <c r="F71" s="9">
        <v>85019</v>
      </c>
      <c r="G71" s="9">
        <v>96782</v>
      </c>
      <c r="H71" s="14">
        <v>99.93</v>
      </c>
      <c r="I71">
        <v>6334</v>
      </c>
      <c r="J71" s="1" t="s">
        <v>15</v>
      </c>
      <c r="K71" s="12">
        <f t="shared" si="1"/>
        <v>188234.93</v>
      </c>
    </row>
    <row r="72" spans="1:11" ht="18.75" x14ac:dyDescent="0.3">
      <c r="A72" s="1" t="s">
        <v>494</v>
      </c>
      <c r="B72" s="2" t="s">
        <v>495</v>
      </c>
      <c r="C72" s="1" t="s">
        <v>66</v>
      </c>
      <c r="D72" s="1" t="s">
        <v>27</v>
      </c>
      <c r="E72" s="1" t="s">
        <v>496</v>
      </c>
      <c r="F72" s="9">
        <v>59878</v>
      </c>
      <c r="G72" s="9">
        <v>63879</v>
      </c>
      <c r="H72" s="14">
        <v>99.08</v>
      </c>
      <c r="I72">
        <v>8751</v>
      </c>
      <c r="J72" s="1" t="s">
        <v>32</v>
      </c>
      <c r="K72" s="12">
        <f t="shared" si="1"/>
        <v>132607.08000000002</v>
      </c>
    </row>
    <row r="73" spans="1:11" ht="18.75" x14ac:dyDescent="0.3">
      <c r="A73" s="1" t="s">
        <v>497</v>
      </c>
      <c r="B73" s="2" t="s">
        <v>498</v>
      </c>
      <c r="C73" s="1" t="s">
        <v>26</v>
      </c>
      <c r="D73" s="1" t="s">
        <v>43</v>
      </c>
      <c r="E73" s="1" t="s">
        <v>499</v>
      </c>
      <c r="F73" s="9">
        <v>119109</v>
      </c>
      <c r="G73" s="9">
        <v>130892</v>
      </c>
      <c r="H73" s="14">
        <v>99.48</v>
      </c>
      <c r="I73">
        <v>2414</v>
      </c>
      <c r="J73" s="1" t="s">
        <v>15</v>
      </c>
      <c r="K73" s="12">
        <f t="shared" si="1"/>
        <v>252514.48</v>
      </c>
    </row>
    <row r="74" spans="1:11" ht="18.75" x14ac:dyDescent="0.3">
      <c r="A74" s="1" t="s">
        <v>500</v>
      </c>
      <c r="B74" s="2" t="s">
        <v>501</v>
      </c>
      <c r="C74" s="1" t="s">
        <v>39</v>
      </c>
      <c r="D74" s="1" t="s">
        <v>13</v>
      </c>
      <c r="E74" s="1" t="s">
        <v>502</v>
      </c>
      <c r="F74" s="9">
        <v>61896</v>
      </c>
      <c r="G74" s="9">
        <v>65020</v>
      </c>
      <c r="H74" s="14">
        <v>96.94</v>
      </c>
      <c r="I74">
        <v>6540</v>
      </c>
      <c r="J74" s="1" t="s">
        <v>15</v>
      </c>
      <c r="K74" s="12">
        <f t="shared" si="1"/>
        <v>133552.94</v>
      </c>
    </row>
    <row r="75" spans="1:11" ht="18.75" x14ac:dyDescent="0.3">
      <c r="A75" s="1" t="s">
        <v>503</v>
      </c>
      <c r="B75" s="2" t="s">
        <v>504</v>
      </c>
      <c r="C75" s="1" t="s">
        <v>12</v>
      </c>
      <c r="D75" s="1" t="s">
        <v>22</v>
      </c>
      <c r="E75" s="1" t="s">
        <v>505</v>
      </c>
      <c r="F75" s="9">
        <v>78064</v>
      </c>
      <c r="G75" s="9">
        <v>82481</v>
      </c>
      <c r="H75" s="14">
        <v>96.2</v>
      </c>
      <c r="I75">
        <v>6882</v>
      </c>
      <c r="J75" s="1" t="s">
        <v>15</v>
      </c>
      <c r="K75" s="12">
        <f t="shared" si="1"/>
        <v>167523.20000000001</v>
      </c>
    </row>
    <row r="76" spans="1:11" ht="18.75" x14ac:dyDescent="0.3">
      <c r="A76" s="1" t="s">
        <v>506</v>
      </c>
      <c r="B76" s="2" t="s">
        <v>507</v>
      </c>
      <c r="C76" s="1" t="s">
        <v>12</v>
      </c>
      <c r="D76" s="1" t="s">
        <v>43</v>
      </c>
      <c r="E76" s="1" t="s">
        <v>508</v>
      </c>
      <c r="F76" s="9">
        <v>105807</v>
      </c>
      <c r="G76" s="9">
        <v>111913</v>
      </c>
      <c r="H76" s="14">
        <v>96.37</v>
      </c>
      <c r="I76">
        <v>2900</v>
      </c>
      <c r="J76" s="1" t="s">
        <v>15</v>
      </c>
      <c r="K76" s="12">
        <f t="shared" si="1"/>
        <v>220716.37</v>
      </c>
    </row>
    <row r="77" spans="1:11" ht="18.75" x14ac:dyDescent="0.3">
      <c r="A77" s="1" t="s">
        <v>509</v>
      </c>
      <c r="B77" s="2" t="s">
        <v>510</v>
      </c>
      <c r="C77" s="1" t="s">
        <v>26</v>
      </c>
      <c r="D77" s="1" t="s">
        <v>27</v>
      </c>
      <c r="E77" s="1" t="s">
        <v>511</v>
      </c>
      <c r="F77" s="9">
        <v>66186</v>
      </c>
      <c r="G77" s="9">
        <v>77833</v>
      </c>
      <c r="H77" s="14">
        <v>87.83</v>
      </c>
      <c r="I77">
        <v>3427</v>
      </c>
      <c r="J77" s="1" t="s">
        <v>15</v>
      </c>
      <c r="K77" s="12">
        <f t="shared" si="1"/>
        <v>147533.82999999999</v>
      </c>
    </row>
    <row r="78" spans="1:11" ht="18.75" x14ac:dyDescent="0.3">
      <c r="A78" s="1" t="s">
        <v>512</v>
      </c>
      <c r="B78" s="2" t="s">
        <v>513</v>
      </c>
      <c r="C78" s="1" t="s">
        <v>66</v>
      </c>
      <c r="D78" s="1" t="s">
        <v>22</v>
      </c>
      <c r="E78" s="1" t="s">
        <v>514</v>
      </c>
      <c r="F78" s="9">
        <v>103955</v>
      </c>
      <c r="G78" s="9">
        <v>107817</v>
      </c>
      <c r="H78" s="14">
        <v>95.42</v>
      </c>
      <c r="I78">
        <v>5901</v>
      </c>
      <c r="J78" s="1" t="s">
        <v>32</v>
      </c>
      <c r="K78" s="12">
        <f t="shared" si="1"/>
        <v>217768.42</v>
      </c>
    </row>
    <row r="79" spans="1:11" ht="18.75" x14ac:dyDescent="0.3">
      <c r="A79" s="1" t="s">
        <v>515</v>
      </c>
      <c r="B79" s="2" t="s">
        <v>516</v>
      </c>
      <c r="C79" s="1" t="s">
        <v>12</v>
      </c>
      <c r="D79" s="1" t="s">
        <v>13</v>
      </c>
      <c r="E79" s="1" t="s">
        <v>517</v>
      </c>
      <c r="F79" s="9">
        <v>94245</v>
      </c>
      <c r="G79" s="9">
        <v>104499</v>
      </c>
      <c r="H79" s="14">
        <v>85.99</v>
      </c>
      <c r="I79">
        <v>7038</v>
      </c>
      <c r="J79" s="1" t="s">
        <v>36</v>
      </c>
      <c r="K79" s="12">
        <f t="shared" si="1"/>
        <v>205867.99</v>
      </c>
    </row>
    <row r="80" spans="1:11" ht="18.75" x14ac:dyDescent="0.3">
      <c r="A80" s="1" t="s">
        <v>518</v>
      </c>
      <c r="B80" s="2" t="s">
        <v>519</v>
      </c>
      <c r="C80" s="1" t="s">
        <v>66</v>
      </c>
      <c r="D80" s="1" t="s">
        <v>53</v>
      </c>
      <c r="E80" s="1" t="s">
        <v>520</v>
      </c>
      <c r="F80" s="9">
        <v>119323</v>
      </c>
      <c r="G80" s="9">
        <v>121833</v>
      </c>
      <c r="H80" s="14">
        <v>83.09</v>
      </c>
      <c r="I80">
        <v>5923</v>
      </c>
      <c r="J80" s="1" t="s">
        <v>32</v>
      </c>
      <c r="K80" s="12">
        <f t="shared" si="1"/>
        <v>247162.09</v>
      </c>
    </row>
    <row r="81" spans="1:11" ht="18.75" x14ac:dyDescent="0.3">
      <c r="A81" s="1" t="s">
        <v>521</v>
      </c>
      <c r="B81" s="2" t="s">
        <v>522</v>
      </c>
      <c r="C81" s="1" t="s">
        <v>26</v>
      </c>
      <c r="D81" s="1" t="s">
        <v>13</v>
      </c>
      <c r="E81" s="1" t="s">
        <v>181</v>
      </c>
      <c r="F81" s="9">
        <v>99260</v>
      </c>
      <c r="G81" s="9">
        <v>108527</v>
      </c>
      <c r="H81" s="14">
        <v>83.32</v>
      </c>
      <c r="I81">
        <v>2661</v>
      </c>
      <c r="J81" s="1" t="s">
        <v>15</v>
      </c>
      <c r="K81" s="12">
        <f t="shared" si="1"/>
        <v>210531.32</v>
      </c>
    </row>
    <row r="82" spans="1:11" ht="18.75" x14ac:dyDescent="0.3">
      <c r="A82" s="1" t="s">
        <v>71</v>
      </c>
      <c r="B82" s="2" t="s">
        <v>72</v>
      </c>
      <c r="C82" s="1" t="s">
        <v>12</v>
      </c>
      <c r="D82" s="1" t="s">
        <v>22</v>
      </c>
      <c r="E82" s="1" t="s">
        <v>73</v>
      </c>
      <c r="F82" s="9">
        <v>105381</v>
      </c>
      <c r="G82" s="9">
        <v>111752</v>
      </c>
      <c r="H82" s="14">
        <v>95.83</v>
      </c>
      <c r="I82">
        <v>4786</v>
      </c>
      <c r="J82" s="1" t="s">
        <v>36</v>
      </c>
      <c r="K82" s="12">
        <f t="shared" si="1"/>
        <v>222014.83</v>
      </c>
    </row>
    <row r="83" spans="1:11" ht="18.75" x14ac:dyDescent="0.3">
      <c r="A83" s="1" t="s">
        <v>523</v>
      </c>
      <c r="B83" s="2" t="s">
        <v>524</v>
      </c>
      <c r="C83" s="1" t="s">
        <v>18</v>
      </c>
      <c r="D83" s="1" t="s">
        <v>22</v>
      </c>
      <c r="E83" s="1" t="s">
        <v>525</v>
      </c>
      <c r="F83" s="9">
        <v>51540</v>
      </c>
      <c r="G83" s="9">
        <v>58045</v>
      </c>
      <c r="H83" s="14">
        <v>93.24</v>
      </c>
      <c r="I83">
        <v>6795</v>
      </c>
      <c r="J83" s="1" t="s">
        <v>36</v>
      </c>
      <c r="K83" s="12">
        <f t="shared" si="1"/>
        <v>116473.24</v>
      </c>
    </row>
    <row r="84" spans="1:11" ht="18.75" x14ac:dyDescent="0.3">
      <c r="A84" s="1" t="s">
        <v>526</v>
      </c>
      <c r="B84" s="2" t="s">
        <v>527</v>
      </c>
      <c r="C84" s="1" t="s">
        <v>12</v>
      </c>
      <c r="D84" s="1" t="s">
        <v>27</v>
      </c>
      <c r="E84" s="1" t="s">
        <v>528</v>
      </c>
      <c r="F84" s="9">
        <v>73652</v>
      </c>
      <c r="G84" s="9">
        <v>83085</v>
      </c>
      <c r="H84" s="14">
        <v>91.1</v>
      </c>
      <c r="I84">
        <v>5524</v>
      </c>
      <c r="J84" s="1" t="s">
        <v>32</v>
      </c>
      <c r="K84" s="12">
        <f t="shared" si="1"/>
        <v>162352.1</v>
      </c>
    </row>
    <row r="85" spans="1:11" ht="18.75" x14ac:dyDescent="0.3">
      <c r="A85" s="1" t="s">
        <v>529</v>
      </c>
      <c r="B85" s="2" t="s">
        <v>530</v>
      </c>
      <c r="C85" s="1" t="s">
        <v>66</v>
      </c>
      <c r="D85" s="1" t="s">
        <v>22</v>
      </c>
      <c r="E85" s="1" t="s">
        <v>531</v>
      </c>
      <c r="F85" s="9">
        <v>63183</v>
      </c>
      <c r="G85" s="9">
        <v>72229</v>
      </c>
      <c r="H85" s="14">
        <v>90.13</v>
      </c>
      <c r="I85">
        <v>3871</v>
      </c>
      <c r="J85" s="1" t="s">
        <v>36</v>
      </c>
      <c r="K85" s="12">
        <f t="shared" si="1"/>
        <v>139373.13</v>
      </c>
    </row>
    <row r="86" spans="1:11" ht="18.75" x14ac:dyDescent="0.3">
      <c r="A86" s="1" t="s">
        <v>532</v>
      </c>
      <c r="B86" s="2" t="s">
        <v>533</v>
      </c>
      <c r="C86" s="1" t="s">
        <v>26</v>
      </c>
      <c r="D86" s="1" t="s">
        <v>22</v>
      </c>
      <c r="E86" s="1" t="s">
        <v>534</v>
      </c>
      <c r="F86" s="9">
        <v>89524</v>
      </c>
      <c r="G86" s="9">
        <v>93081</v>
      </c>
      <c r="H86" s="14">
        <v>87.63</v>
      </c>
      <c r="I86">
        <v>4560</v>
      </c>
      <c r="J86" s="1" t="s">
        <v>15</v>
      </c>
      <c r="K86" s="12">
        <f t="shared" si="1"/>
        <v>187252.63</v>
      </c>
    </row>
    <row r="87" spans="1:11" ht="18.75" x14ac:dyDescent="0.3">
      <c r="A87" s="1" t="s">
        <v>535</v>
      </c>
      <c r="B87" s="2" t="s">
        <v>536</v>
      </c>
      <c r="C87" s="1" t="s">
        <v>66</v>
      </c>
      <c r="D87" s="1" t="s">
        <v>27</v>
      </c>
      <c r="E87" s="1" t="s">
        <v>537</v>
      </c>
      <c r="F87" s="9">
        <v>43799</v>
      </c>
      <c r="G87" s="9">
        <v>47293</v>
      </c>
      <c r="H87" s="14">
        <v>96.97</v>
      </c>
      <c r="I87">
        <v>2763</v>
      </c>
      <c r="J87" s="1" t="s">
        <v>32</v>
      </c>
      <c r="K87" s="12">
        <f t="shared" si="1"/>
        <v>93951.97</v>
      </c>
    </row>
    <row r="88" spans="1:11" ht="18.75" x14ac:dyDescent="0.3">
      <c r="A88" s="1" t="s">
        <v>538</v>
      </c>
      <c r="B88" s="2" t="s">
        <v>539</v>
      </c>
      <c r="C88" s="1" t="s">
        <v>18</v>
      </c>
      <c r="D88" s="1" t="s">
        <v>22</v>
      </c>
      <c r="E88" s="1" t="s">
        <v>540</v>
      </c>
      <c r="F88" s="9">
        <v>52054</v>
      </c>
      <c r="G88" s="9">
        <v>63169</v>
      </c>
      <c r="H88" s="14">
        <v>83.08</v>
      </c>
      <c r="I88">
        <v>6600</v>
      </c>
      <c r="J88" s="1" t="s">
        <v>32</v>
      </c>
      <c r="K88" s="12">
        <f t="shared" si="1"/>
        <v>121906.08</v>
      </c>
    </row>
    <row r="89" spans="1:11" ht="18.75" x14ac:dyDescent="0.3">
      <c r="A89" s="1" t="s">
        <v>541</v>
      </c>
      <c r="B89" s="2" t="s">
        <v>542</v>
      </c>
      <c r="C89" s="1" t="s">
        <v>66</v>
      </c>
      <c r="D89" s="1" t="s">
        <v>27</v>
      </c>
      <c r="E89" s="1" t="s">
        <v>543</v>
      </c>
      <c r="F89" s="9">
        <v>88845</v>
      </c>
      <c r="G89" s="9">
        <v>96638</v>
      </c>
      <c r="H89" s="14">
        <v>97.72</v>
      </c>
      <c r="I89">
        <v>8146</v>
      </c>
      <c r="J89" s="1" t="s">
        <v>907</v>
      </c>
      <c r="K89" s="12">
        <f t="shared" ref="K89:K152" si="2">SUM(F89:J89)</f>
        <v>193726.72</v>
      </c>
    </row>
    <row r="90" spans="1:11" ht="18.75" x14ac:dyDescent="0.3">
      <c r="A90" s="1" t="s">
        <v>544</v>
      </c>
      <c r="B90" s="2" t="s">
        <v>545</v>
      </c>
      <c r="C90" s="1" t="s">
        <v>39</v>
      </c>
      <c r="D90" s="1" t="s">
        <v>53</v>
      </c>
      <c r="E90" s="1" t="s">
        <v>546</v>
      </c>
      <c r="F90" s="9">
        <v>81090</v>
      </c>
      <c r="G90" s="9">
        <v>84787</v>
      </c>
      <c r="H90" s="14">
        <v>92.4</v>
      </c>
      <c r="I90">
        <v>3742</v>
      </c>
      <c r="J90" s="1" t="s">
        <v>15</v>
      </c>
      <c r="K90" s="12">
        <f t="shared" si="2"/>
        <v>169711.4</v>
      </c>
    </row>
    <row r="91" spans="1:11" ht="18.75" x14ac:dyDescent="0.3">
      <c r="A91" s="1" t="s">
        <v>547</v>
      </c>
      <c r="B91" s="2" t="s">
        <v>548</v>
      </c>
      <c r="C91" s="1" t="s">
        <v>26</v>
      </c>
      <c r="D91" s="1" t="s">
        <v>13</v>
      </c>
      <c r="E91" s="1" t="s">
        <v>549</v>
      </c>
      <c r="F91" s="9">
        <v>80890</v>
      </c>
      <c r="G91" s="9">
        <v>92003</v>
      </c>
      <c r="H91" s="14">
        <v>88.62</v>
      </c>
      <c r="I91">
        <v>8247</v>
      </c>
      <c r="J91" s="1" t="s">
        <v>15</v>
      </c>
      <c r="K91" s="12">
        <f t="shared" si="2"/>
        <v>181228.62</v>
      </c>
    </row>
    <row r="92" spans="1:11" ht="18.75" x14ac:dyDescent="0.3">
      <c r="A92" s="1" t="s">
        <v>550</v>
      </c>
      <c r="B92" s="2" t="s">
        <v>551</v>
      </c>
      <c r="C92" s="1" t="s">
        <v>26</v>
      </c>
      <c r="D92" s="1" t="s">
        <v>27</v>
      </c>
      <c r="E92" s="1" t="s">
        <v>552</v>
      </c>
      <c r="F92" s="9">
        <v>108526</v>
      </c>
      <c r="G92" s="9">
        <v>119647</v>
      </c>
      <c r="H92" s="14">
        <v>82.47</v>
      </c>
      <c r="I92">
        <v>7388</v>
      </c>
      <c r="J92" s="1" t="s">
        <v>15</v>
      </c>
      <c r="K92" s="12">
        <f t="shared" si="2"/>
        <v>235643.47</v>
      </c>
    </row>
    <row r="93" spans="1:11" ht="18.75" x14ac:dyDescent="0.3">
      <c r="A93" s="1" t="s">
        <v>74</v>
      </c>
      <c r="B93" s="2" t="s">
        <v>75</v>
      </c>
      <c r="C93" s="1" t="s">
        <v>26</v>
      </c>
      <c r="D93" s="1" t="s">
        <v>13</v>
      </c>
      <c r="E93" s="1" t="s">
        <v>76</v>
      </c>
      <c r="F93" s="9">
        <v>94470</v>
      </c>
      <c r="G93" s="9">
        <v>96523</v>
      </c>
      <c r="H93" s="14">
        <v>99.17</v>
      </c>
      <c r="I93">
        <v>7895</v>
      </c>
      <c r="J93" s="1" t="s">
        <v>15</v>
      </c>
      <c r="K93" s="12">
        <f t="shared" si="2"/>
        <v>198987.17</v>
      </c>
    </row>
    <row r="94" spans="1:11" ht="18.75" x14ac:dyDescent="0.3">
      <c r="A94" s="1" t="s">
        <v>553</v>
      </c>
      <c r="B94" s="2" t="s">
        <v>554</v>
      </c>
      <c r="C94" s="1" t="s">
        <v>39</v>
      </c>
      <c r="D94" s="1" t="s">
        <v>13</v>
      </c>
      <c r="E94" s="1" t="s">
        <v>555</v>
      </c>
      <c r="F94" s="9">
        <v>75499</v>
      </c>
      <c r="G94" s="9">
        <v>83066</v>
      </c>
      <c r="H94" s="14">
        <v>88.32</v>
      </c>
      <c r="I94">
        <v>3486</v>
      </c>
      <c r="J94" s="1" t="s">
        <v>32</v>
      </c>
      <c r="K94" s="12">
        <f t="shared" si="2"/>
        <v>162139.32</v>
      </c>
    </row>
    <row r="95" spans="1:11" ht="18.75" x14ac:dyDescent="0.3">
      <c r="A95" s="1" t="s">
        <v>556</v>
      </c>
      <c r="B95" s="2" t="s">
        <v>557</v>
      </c>
      <c r="C95" s="1" t="s">
        <v>12</v>
      </c>
      <c r="D95" s="1" t="s">
        <v>13</v>
      </c>
      <c r="E95" s="1" t="s">
        <v>558</v>
      </c>
      <c r="F95" s="9">
        <v>44120</v>
      </c>
      <c r="G95" s="9">
        <v>48444</v>
      </c>
      <c r="H95" s="14">
        <v>95.34</v>
      </c>
      <c r="I95">
        <v>2251</v>
      </c>
      <c r="J95" s="1" t="s">
        <v>15</v>
      </c>
      <c r="K95" s="12">
        <f t="shared" si="2"/>
        <v>94910.34</v>
      </c>
    </row>
    <row r="96" spans="1:11" ht="18.75" x14ac:dyDescent="0.3">
      <c r="A96" s="1" t="s">
        <v>559</v>
      </c>
      <c r="B96" s="2" t="s">
        <v>560</v>
      </c>
      <c r="C96" s="1" t="s">
        <v>26</v>
      </c>
      <c r="D96" s="1" t="s">
        <v>22</v>
      </c>
      <c r="E96" s="1" t="s">
        <v>561</v>
      </c>
      <c r="F96" s="9">
        <v>90028</v>
      </c>
      <c r="G96" s="9">
        <v>99460</v>
      </c>
      <c r="H96" s="14">
        <v>88.14</v>
      </c>
      <c r="I96">
        <v>5031</v>
      </c>
      <c r="J96" s="1" t="s">
        <v>32</v>
      </c>
      <c r="K96" s="12">
        <f t="shared" si="2"/>
        <v>194607.14</v>
      </c>
    </row>
    <row r="97" spans="1:11" ht="18.75" x14ac:dyDescent="0.3">
      <c r="A97" s="1" t="s">
        <v>562</v>
      </c>
      <c r="B97" s="2" t="s">
        <v>563</v>
      </c>
      <c r="C97" s="1" t="s">
        <v>12</v>
      </c>
      <c r="D97" s="1" t="s">
        <v>27</v>
      </c>
      <c r="E97" s="1" t="s">
        <v>564</v>
      </c>
      <c r="F97" s="9">
        <v>41895</v>
      </c>
      <c r="G97" s="9">
        <v>46444</v>
      </c>
      <c r="H97" s="14">
        <v>84.83</v>
      </c>
      <c r="I97">
        <v>7061</v>
      </c>
      <c r="J97" s="1" t="s">
        <v>36</v>
      </c>
      <c r="K97" s="12">
        <f t="shared" si="2"/>
        <v>95484.83</v>
      </c>
    </row>
    <row r="98" spans="1:11" ht="18.75" x14ac:dyDescent="0.3">
      <c r="A98" s="1" t="s">
        <v>565</v>
      </c>
      <c r="B98" s="2" t="s">
        <v>566</v>
      </c>
      <c r="C98" s="1" t="s">
        <v>26</v>
      </c>
      <c r="D98" s="1" t="s">
        <v>43</v>
      </c>
      <c r="E98" s="1" t="s">
        <v>567</v>
      </c>
      <c r="F98" s="9">
        <v>90576</v>
      </c>
      <c r="G98" s="9">
        <v>100533</v>
      </c>
      <c r="H98" s="14">
        <v>92.93</v>
      </c>
      <c r="I98">
        <v>5392</v>
      </c>
      <c r="J98" s="1" t="s">
        <v>32</v>
      </c>
      <c r="K98" s="12">
        <f t="shared" si="2"/>
        <v>196593.93</v>
      </c>
    </row>
    <row r="99" spans="1:11" ht="18.75" x14ac:dyDescent="0.3">
      <c r="A99" s="1" t="s">
        <v>568</v>
      </c>
      <c r="B99" s="2" t="s">
        <v>569</v>
      </c>
      <c r="C99" s="1" t="s">
        <v>18</v>
      </c>
      <c r="D99" s="1" t="s">
        <v>53</v>
      </c>
      <c r="E99" s="1" t="s">
        <v>570</v>
      </c>
      <c r="F99" s="9">
        <v>80242</v>
      </c>
      <c r="G99" s="9">
        <v>89285</v>
      </c>
      <c r="H99" s="14">
        <v>84</v>
      </c>
      <c r="I99">
        <v>7555</v>
      </c>
      <c r="J99" s="1" t="s">
        <v>32</v>
      </c>
      <c r="K99" s="12">
        <f t="shared" si="2"/>
        <v>177166</v>
      </c>
    </row>
    <row r="100" spans="1:11" ht="18.75" x14ac:dyDescent="0.3">
      <c r="A100" s="1" t="s">
        <v>571</v>
      </c>
      <c r="B100" s="2" t="s">
        <v>572</v>
      </c>
      <c r="C100" s="1" t="s">
        <v>12</v>
      </c>
      <c r="D100" s="1" t="s">
        <v>27</v>
      </c>
      <c r="E100" s="1" t="s">
        <v>573</v>
      </c>
      <c r="F100" s="9">
        <v>40952</v>
      </c>
      <c r="G100" s="9">
        <v>46564</v>
      </c>
      <c r="H100" s="14">
        <v>89.11</v>
      </c>
      <c r="I100">
        <v>6909</v>
      </c>
      <c r="J100" s="1" t="s">
        <v>15</v>
      </c>
      <c r="K100" s="12">
        <f t="shared" si="2"/>
        <v>94514.11</v>
      </c>
    </row>
    <row r="101" spans="1:11" ht="18.75" x14ac:dyDescent="0.3">
      <c r="A101" s="1" t="s">
        <v>574</v>
      </c>
      <c r="B101" s="2" t="s">
        <v>575</v>
      </c>
      <c r="C101" s="1" t="s">
        <v>26</v>
      </c>
      <c r="D101" s="1" t="s">
        <v>27</v>
      </c>
      <c r="E101" s="1" t="s">
        <v>576</v>
      </c>
      <c r="F101" s="9">
        <v>62686</v>
      </c>
      <c r="G101" s="9">
        <v>66934</v>
      </c>
      <c r="H101" s="14">
        <v>95.75</v>
      </c>
      <c r="I101">
        <v>4371</v>
      </c>
      <c r="J101" s="1" t="s">
        <v>15</v>
      </c>
      <c r="K101" s="12">
        <f t="shared" si="2"/>
        <v>134086.75</v>
      </c>
    </row>
    <row r="102" spans="1:11" ht="18.75" x14ac:dyDescent="0.3">
      <c r="A102" s="1" t="s">
        <v>577</v>
      </c>
      <c r="B102" s="2" t="s">
        <v>578</v>
      </c>
      <c r="C102" s="1" t="s">
        <v>39</v>
      </c>
      <c r="D102" s="1" t="s">
        <v>13</v>
      </c>
      <c r="E102" s="1" t="s">
        <v>579</v>
      </c>
      <c r="F102" s="9">
        <v>91446</v>
      </c>
      <c r="G102" s="9">
        <v>96324</v>
      </c>
      <c r="H102" s="14">
        <v>84.33</v>
      </c>
      <c r="I102">
        <v>6362</v>
      </c>
      <c r="J102" s="1" t="s">
        <v>32</v>
      </c>
      <c r="K102" s="12">
        <f t="shared" si="2"/>
        <v>194216.33</v>
      </c>
    </row>
    <row r="103" spans="1:11" ht="18.75" x14ac:dyDescent="0.3">
      <c r="A103" s="1" t="s">
        <v>580</v>
      </c>
      <c r="B103" s="2" t="s">
        <v>581</v>
      </c>
      <c r="C103" s="1" t="s">
        <v>66</v>
      </c>
      <c r="D103" s="1" t="s">
        <v>27</v>
      </c>
      <c r="E103" s="1" t="s">
        <v>582</v>
      </c>
      <c r="F103" s="9">
        <v>44447</v>
      </c>
      <c r="G103" s="9">
        <v>52952</v>
      </c>
      <c r="H103" s="14">
        <v>97.51</v>
      </c>
      <c r="I103">
        <v>2346</v>
      </c>
      <c r="J103" s="1" t="s">
        <v>907</v>
      </c>
      <c r="K103" s="12">
        <f t="shared" si="2"/>
        <v>99842.51</v>
      </c>
    </row>
    <row r="104" spans="1:11" ht="18.75" x14ac:dyDescent="0.3">
      <c r="A104" s="1" t="s">
        <v>77</v>
      </c>
      <c r="B104" s="2" t="s">
        <v>78</v>
      </c>
      <c r="C104" s="1" t="s">
        <v>18</v>
      </c>
      <c r="D104" s="1" t="s">
        <v>43</v>
      </c>
      <c r="E104" s="1" t="s">
        <v>79</v>
      </c>
      <c r="F104" s="9">
        <v>48947</v>
      </c>
      <c r="G104" s="9">
        <v>55836</v>
      </c>
      <c r="H104" s="14">
        <v>97.15</v>
      </c>
      <c r="I104">
        <v>6158</v>
      </c>
      <c r="J104" s="1" t="s">
        <v>15</v>
      </c>
      <c r="K104" s="12">
        <f t="shared" si="2"/>
        <v>111038.15</v>
      </c>
    </row>
    <row r="105" spans="1:11" ht="18.75" x14ac:dyDescent="0.3">
      <c r="A105" s="1" t="s">
        <v>583</v>
      </c>
      <c r="B105" s="2" t="s">
        <v>584</v>
      </c>
      <c r="C105" s="1" t="s">
        <v>66</v>
      </c>
      <c r="D105" s="1" t="s">
        <v>22</v>
      </c>
      <c r="E105" s="1" t="s">
        <v>585</v>
      </c>
      <c r="F105" s="9">
        <v>76033</v>
      </c>
      <c r="G105" s="9">
        <v>87466</v>
      </c>
      <c r="H105" s="14">
        <v>89.73</v>
      </c>
      <c r="I105">
        <v>5313</v>
      </c>
      <c r="J105" s="1" t="s">
        <v>15</v>
      </c>
      <c r="K105" s="12">
        <f t="shared" si="2"/>
        <v>168901.73</v>
      </c>
    </row>
    <row r="106" spans="1:11" ht="18.75" x14ac:dyDescent="0.3">
      <c r="A106" s="1" t="s">
        <v>586</v>
      </c>
      <c r="B106" s="2" t="s">
        <v>587</v>
      </c>
      <c r="C106" s="1" t="s">
        <v>66</v>
      </c>
      <c r="D106" s="1" t="s">
        <v>22</v>
      </c>
      <c r="E106" s="1" t="s">
        <v>588</v>
      </c>
      <c r="F106" s="9">
        <v>37733</v>
      </c>
      <c r="G106" s="9">
        <v>45054</v>
      </c>
      <c r="H106" s="14">
        <v>85.09</v>
      </c>
      <c r="I106">
        <v>7063</v>
      </c>
      <c r="J106" s="1" t="s">
        <v>15</v>
      </c>
      <c r="K106" s="12">
        <f t="shared" si="2"/>
        <v>89935.09</v>
      </c>
    </row>
    <row r="107" spans="1:11" ht="18.75" x14ac:dyDescent="0.3">
      <c r="A107" s="1" t="s">
        <v>589</v>
      </c>
      <c r="B107" s="2" t="s">
        <v>590</v>
      </c>
      <c r="C107" s="1" t="s">
        <v>18</v>
      </c>
      <c r="D107" s="1" t="s">
        <v>27</v>
      </c>
      <c r="E107" s="1" t="s">
        <v>591</v>
      </c>
      <c r="F107" s="9">
        <v>48875</v>
      </c>
      <c r="G107" s="9">
        <v>54861</v>
      </c>
      <c r="H107" s="14">
        <v>89.84</v>
      </c>
      <c r="I107">
        <v>5280</v>
      </c>
      <c r="J107" s="1" t="s">
        <v>36</v>
      </c>
      <c r="K107" s="12">
        <f t="shared" si="2"/>
        <v>109105.84</v>
      </c>
    </row>
    <row r="108" spans="1:11" ht="18.75" x14ac:dyDescent="0.3">
      <c r="A108" s="1" t="s">
        <v>592</v>
      </c>
      <c r="B108" s="2" t="s">
        <v>593</v>
      </c>
      <c r="C108" s="1" t="s">
        <v>12</v>
      </c>
      <c r="D108" s="1" t="s">
        <v>13</v>
      </c>
      <c r="E108" s="1" t="s">
        <v>594</v>
      </c>
      <c r="F108" s="9">
        <v>79500</v>
      </c>
      <c r="G108" s="9">
        <v>85130</v>
      </c>
      <c r="H108" s="14">
        <v>88</v>
      </c>
      <c r="I108">
        <v>3377</v>
      </c>
      <c r="J108" s="1" t="s">
        <v>32</v>
      </c>
      <c r="K108" s="12">
        <f t="shared" si="2"/>
        <v>168095</v>
      </c>
    </row>
    <row r="109" spans="1:11" ht="18.75" x14ac:dyDescent="0.3">
      <c r="A109" s="1" t="s">
        <v>595</v>
      </c>
      <c r="B109" s="2" t="s">
        <v>596</v>
      </c>
      <c r="C109" s="1" t="s">
        <v>26</v>
      </c>
      <c r="D109" s="1" t="s">
        <v>22</v>
      </c>
      <c r="E109" s="1" t="s">
        <v>597</v>
      </c>
      <c r="F109" s="9">
        <v>104547</v>
      </c>
      <c r="G109" s="9">
        <v>114902</v>
      </c>
      <c r="H109" s="14">
        <v>85.49</v>
      </c>
      <c r="I109">
        <v>8358</v>
      </c>
      <c r="J109" s="1" t="s">
        <v>32</v>
      </c>
      <c r="K109" s="12">
        <f t="shared" si="2"/>
        <v>227892.49</v>
      </c>
    </row>
    <row r="110" spans="1:11" ht="18.75" x14ac:dyDescent="0.3">
      <c r="A110" s="1" t="s">
        <v>598</v>
      </c>
      <c r="B110" s="2" t="s">
        <v>599</v>
      </c>
      <c r="C110" s="1" t="s">
        <v>39</v>
      </c>
      <c r="D110" s="1" t="s">
        <v>13</v>
      </c>
      <c r="E110" s="1" t="s">
        <v>600</v>
      </c>
      <c r="F110" s="9">
        <v>65968</v>
      </c>
      <c r="G110" s="9">
        <v>69652</v>
      </c>
      <c r="H110" s="14">
        <v>84.64</v>
      </c>
      <c r="I110">
        <v>3616</v>
      </c>
      <c r="J110" s="1" t="s">
        <v>15</v>
      </c>
      <c r="K110" s="12">
        <f t="shared" si="2"/>
        <v>139320.64000000001</v>
      </c>
    </row>
    <row r="111" spans="1:11" ht="18.75" x14ac:dyDescent="0.3">
      <c r="A111" s="1" t="s">
        <v>601</v>
      </c>
      <c r="B111" s="2" t="s">
        <v>602</v>
      </c>
      <c r="C111" s="1" t="s">
        <v>18</v>
      </c>
      <c r="D111" s="1" t="s">
        <v>53</v>
      </c>
      <c r="E111" s="1" t="s">
        <v>118</v>
      </c>
      <c r="F111" s="9">
        <v>58218</v>
      </c>
      <c r="G111" s="9">
        <v>68313</v>
      </c>
      <c r="H111" s="14">
        <v>90.35</v>
      </c>
      <c r="I111">
        <v>6618</v>
      </c>
      <c r="J111" s="1" t="s">
        <v>32</v>
      </c>
      <c r="K111" s="12">
        <f t="shared" si="2"/>
        <v>133239.35</v>
      </c>
    </row>
    <row r="112" spans="1:11" ht="18.75" x14ac:dyDescent="0.3">
      <c r="A112" s="1" t="s">
        <v>603</v>
      </c>
      <c r="B112" s="2" t="s">
        <v>604</v>
      </c>
      <c r="C112" s="1" t="s">
        <v>26</v>
      </c>
      <c r="D112" s="1" t="s">
        <v>43</v>
      </c>
      <c r="E112" s="1" t="s">
        <v>502</v>
      </c>
      <c r="F112" s="9">
        <v>119278</v>
      </c>
      <c r="G112" s="9">
        <v>126573</v>
      </c>
      <c r="H112" s="14">
        <v>97.56</v>
      </c>
      <c r="I112">
        <v>7138</v>
      </c>
      <c r="J112" s="1" t="s">
        <v>36</v>
      </c>
      <c r="K112" s="12">
        <f t="shared" si="2"/>
        <v>253086.56</v>
      </c>
    </row>
    <row r="113" spans="1:11" ht="18.75" x14ac:dyDescent="0.3">
      <c r="A113" s="1" t="s">
        <v>605</v>
      </c>
      <c r="B113" s="2" t="s">
        <v>606</v>
      </c>
      <c r="C113" s="1" t="s">
        <v>26</v>
      </c>
      <c r="D113" s="1" t="s">
        <v>13</v>
      </c>
      <c r="E113" s="1" t="s">
        <v>607</v>
      </c>
      <c r="F113" s="9">
        <v>96462</v>
      </c>
      <c r="G113" s="9">
        <v>105707</v>
      </c>
      <c r="H113" s="14">
        <v>93.36</v>
      </c>
      <c r="I113">
        <v>8523</v>
      </c>
      <c r="J113" s="1" t="s">
        <v>15</v>
      </c>
      <c r="K113" s="12">
        <f t="shared" si="2"/>
        <v>210785.36</v>
      </c>
    </row>
    <row r="114" spans="1:11" ht="18.75" x14ac:dyDescent="0.3">
      <c r="A114" s="1" t="s">
        <v>608</v>
      </c>
      <c r="B114" s="2" t="s">
        <v>609</v>
      </c>
      <c r="C114" s="1" t="s">
        <v>12</v>
      </c>
      <c r="D114" s="1" t="s">
        <v>27</v>
      </c>
      <c r="E114" s="1" t="s">
        <v>314</v>
      </c>
      <c r="F114" s="9">
        <v>101497</v>
      </c>
      <c r="G114" s="9">
        <v>104712</v>
      </c>
      <c r="H114" s="14">
        <v>87.59</v>
      </c>
      <c r="I114">
        <v>5702</v>
      </c>
      <c r="J114" s="1" t="s">
        <v>36</v>
      </c>
      <c r="K114" s="12">
        <f t="shared" si="2"/>
        <v>211998.59</v>
      </c>
    </row>
    <row r="115" spans="1:11" ht="18.75" x14ac:dyDescent="0.3">
      <c r="A115" s="1" t="s">
        <v>16</v>
      </c>
      <c r="B115" s="2" t="s">
        <v>17</v>
      </c>
      <c r="C115" s="1" t="s">
        <v>18</v>
      </c>
      <c r="D115" s="1" t="s">
        <v>13</v>
      </c>
      <c r="E115" s="1" t="s">
        <v>19</v>
      </c>
      <c r="F115" s="9">
        <v>39165</v>
      </c>
      <c r="G115" s="9">
        <v>41653</v>
      </c>
      <c r="H115" s="14">
        <v>83.69</v>
      </c>
      <c r="I115">
        <v>3905</v>
      </c>
      <c r="J115" s="1" t="s">
        <v>15</v>
      </c>
      <c r="K115" s="12">
        <f t="shared" si="2"/>
        <v>84806.69</v>
      </c>
    </row>
    <row r="116" spans="1:11" ht="18.75" x14ac:dyDescent="0.3">
      <c r="A116" s="1" t="s">
        <v>80</v>
      </c>
      <c r="B116" s="2" t="s">
        <v>81</v>
      </c>
      <c r="C116" s="1" t="s">
        <v>12</v>
      </c>
      <c r="D116" s="1" t="s">
        <v>13</v>
      </c>
      <c r="E116" s="1" t="s">
        <v>82</v>
      </c>
      <c r="F116" s="9">
        <v>56174</v>
      </c>
      <c r="G116" s="9">
        <v>67011</v>
      </c>
      <c r="H116" s="14">
        <v>99.16</v>
      </c>
      <c r="I116">
        <v>6344</v>
      </c>
      <c r="J116" s="1" t="s">
        <v>36</v>
      </c>
      <c r="K116" s="12">
        <f t="shared" si="2"/>
        <v>129628.16</v>
      </c>
    </row>
    <row r="117" spans="1:11" ht="18.75" x14ac:dyDescent="0.3">
      <c r="A117" s="1" t="s">
        <v>610</v>
      </c>
      <c r="B117" s="2" t="s">
        <v>611</v>
      </c>
      <c r="C117" s="1" t="s">
        <v>66</v>
      </c>
      <c r="D117" s="1" t="s">
        <v>53</v>
      </c>
      <c r="E117" s="1" t="s">
        <v>612</v>
      </c>
      <c r="F117" s="9">
        <v>45057</v>
      </c>
      <c r="G117" s="9">
        <v>48536</v>
      </c>
      <c r="H117" s="14">
        <v>93.07</v>
      </c>
      <c r="I117">
        <v>6153</v>
      </c>
      <c r="J117" s="1" t="s">
        <v>32</v>
      </c>
      <c r="K117" s="12">
        <f t="shared" si="2"/>
        <v>99839.07</v>
      </c>
    </row>
    <row r="118" spans="1:11" ht="18.75" x14ac:dyDescent="0.3">
      <c r="A118" s="1" t="s">
        <v>613</v>
      </c>
      <c r="B118" s="2" t="s">
        <v>614</v>
      </c>
      <c r="C118" s="1" t="s">
        <v>39</v>
      </c>
      <c r="D118" s="1" t="s">
        <v>22</v>
      </c>
      <c r="E118" s="1" t="s">
        <v>615</v>
      </c>
      <c r="F118" s="9">
        <v>40376</v>
      </c>
      <c r="G118" s="9">
        <v>49744</v>
      </c>
      <c r="H118" s="14">
        <v>98.36</v>
      </c>
      <c r="I118">
        <v>6683</v>
      </c>
      <c r="J118" s="1" t="s">
        <v>32</v>
      </c>
      <c r="K118" s="12">
        <f t="shared" si="2"/>
        <v>96901.36</v>
      </c>
    </row>
    <row r="119" spans="1:11" ht="18.75" x14ac:dyDescent="0.3">
      <c r="A119" s="1" t="s">
        <v>616</v>
      </c>
      <c r="B119" s="2" t="s">
        <v>617</v>
      </c>
      <c r="C119" s="1" t="s">
        <v>12</v>
      </c>
      <c r="D119" s="1" t="s">
        <v>22</v>
      </c>
      <c r="E119" s="1" t="s">
        <v>618</v>
      </c>
      <c r="F119" s="9">
        <v>100715</v>
      </c>
      <c r="G119" s="9">
        <v>105186</v>
      </c>
      <c r="H119" s="14">
        <v>99.24</v>
      </c>
      <c r="I119">
        <v>5690</v>
      </c>
      <c r="J119" s="1" t="s">
        <v>32</v>
      </c>
      <c r="K119" s="12">
        <f t="shared" si="2"/>
        <v>211690.23999999999</v>
      </c>
    </row>
    <row r="120" spans="1:11" ht="18.75" x14ac:dyDescent="0.3">
      <c r="A120" s="1" t="s">
        <v>619</v>
      </c>
      <c r="B120" s="2" t="s">
        <v>620</v>
      </c>
      <c r="C120" s="1" t="s">
        <v>66</v>
      </c>
      <c r="D120" s="1" t="s">
        <v>53</v>
      </c>
      <c r="E120" s="1" t="s">
        <v>621</v>
      </c>
      <c r="F120" s="9">
        <v>101132</v>
      </c>
      <c r="G120" s="9">
        <v>105959</v>
      </c>
      <c r="H120" s="14">
        <v>82.7</v>
      </c>
      <c r="I120">
        <v>7796</v>
      </c>
      <c r="J120" s="1" t="s">
        <v>32</v>
      </c>
      <c r="K120" s="12">
        <f t="shared" si="2"/>
        <v>214969.7</v>
      </c>
    </row>
    <row r="121" spans="1:11" ht="18.75" x14ac:dyDescent="0.3">
      <c r="A121" s="1" t="s">
        <v>622</v>
      </c>
      <c r="B121" s="2" t="s">
        <v>623</v>
      </c>
      <c r="C121" s="1" t="s">
        <v>66</v>
      </c>
      <c r="D121" s="1" t="s">
        <v>53</v>
      </c>
      <c r="E121" s="1" t="s">
        <v>624</v>
      </c>
      <c r="F121" s="9">
        <v>114928</v>
      </c>
      <c r="G121" s="9">
        <v>119528</v>
      </c>
      <c r="H121" s="14">
        <v>88.55</v>
      </c>
      <c r="I121">
        <v>4317</v>
      </c>
      <c r="J121" s="1" t="s">
        <v>36</v>
      </c>
      <c r="K121" s="12">
        <f t="shared" si="2"/>
        <v>238861.55</v>
      </c>
    </row>
    <row r="122" spans="1:11" ht="18.75" x14ac:dyDescent="0.3">
      <c r="A122" s="1" t="s">
        <v>625</v>
      </c>
      <c r="B122" s="2" t="s">
        <v>626</v>
      </c>
      <c r="C122" s="1" t="s">
        <v>18</v>
      </c>
      <c r="D122" s="1" t="s">
        <v>53</v>
      </c>
      <c r="E122" s="1" t="s">
        <v>627</v>
      </c>
      <c r="F122" s="9">
        <v>117691</v>
      </c>
      <c r="G122" s="9">
        <v>125173</v>
      </c>
      <c r="H122" s="14">
        <v>83.19</v>
      </c>
      <c r="I122">
        <v>2774</v>
      </c>
      <c r="J122" s="1" t="s">
        <v>36</v>
      </c>
      <c r="K122" s="12">
        <f t="shared" si="2"/>
        <v>245721.19</v>
      </c>
    </row>
    <row r="123" spans="1:11" ht="18.75" x14ac:dyDescent="0.3">
      <c r="A123" s="1" t="s">
        <v>628</v>
      </c>
      <c r="B123" s="2" t="s">
        <v>629</v>
      </c>
      <c r="C123" s="1" t="s">
        <v>39</v>
      </c>
      <c r="D123" s="1" t="s">
        <v>22</v>
      </c>
      <c r="E123" s="1" t="s">
        <v>630</v>
      </c>
      <c r="F123" s="9">
        <v>113997</v>
      </c>
      <c r="G123" s="9">
        <v>118460</v>
      </c>
      <c r="H123" s="14">
        <v>88</v>
      </c>
      <c r="I123">
        <v>6773</v>
      </c>
      <c r="J123" s="1" t="s">
        <v>36</v>
      </c>
      <c r="K123" s="12">
        <f t="shared" si="2"/>
        <v>239318</v>
      </c>
    </row>
    <row r="124" spans="1:11" ht="18.75" x14ac:dyDescent="0.3">
      <c r="A124" s="1" t="s">
        <v>631</v>
      </c>
      <c r="B124" s="2" t="s">
        <v>632</v>
      </c>
      <c r="C124" s="1" t="s">
        <v>26</v>
      </c>
      <c r="D124" s="1" t="s">
        <v>13</v>
      </c>
      <c r="E124" s="1" t="s">
        <v>633</v>
      </c>
      <c r="F124" s="9">
        <v>51901</v>
      </c>
      <c r="G124" s="9">
        <v>63650</v>
      </c>
      <c r="H124" s="14">
        <v>94.76</v>
      </c>
      <c r="I124">
        <v>2694</v>
      </c>
      <c r="J124" s="1" t="s">
        <v>36</v>
      </c>
      <c r="K124" s="12">
        <f t="shared" si="2"/>
        <v>118339.76</v>
      </c>
    </row>
    <row r="125" spans="1:11" ht="18.75" x14ac:dyDescent="0.3">
      <c r="A125" s="1" t="s">
        <v>634</v>
      </c>
      <c r="B125" s="2" t="s">
        <v>635</v>
      </c>
      <c r="C125" s="1" t="s">
        <v>66</v>
      </c>
      <c r="D125" s="1" t="s">
        <v>13</v>
      </c>
      <c r="E125" s="1" t="s">
        <v>636</v>
      </c>
      <c r="F125" s="9">
        <v>51750</v>
      </c>
      <c r="G125" s="9">
        <v>62374</v>
      </c>
      <c r="H125" s="14">
        <v>83.68</v>
      </c>
      <c r="I125">
        <v>7492</v>
      </c>
      <c r="J125" s="1" t="s">
        <v>36</v>
      </c>
      <c r="K125" s="12">
        <f t="shared" si="2"/>
        <v>121699.68</v>
      </c>
    </row>
    <row r="126" spans="1:11" ht="18.75" x14ac:dyDescent="0.3">
      <c r="A126" s="1" t="s">
        <v>637</v>
      </c>
      <c r="B126" s="2" t="s">
        <v>638</v>
      </c>
      <c r="C126" s="1" t="s">
        <v>26</v>
      </c>
      <c r="D126" s="1" t="s">
        <v>53</v>
      </c>
      <c r="E126" s="1" t="s">
        <v>639</v>
      </c>
      <c r="F126" s="9">
        <v>82526</v>
      </c>
      <c r="G126" s="9">
        <v>89586</v>
      </c>
      <c r="H126" s="14">
        <v>85.24</v>
      </c>
      <c r="I126">
        <v>3754</v>
      </c>
      <c r="J126" s="1" t="s">
        <v>15</v>
      </c>
      <c r="K126" s="12">
        <f t="shared" si="2"/>
        <v>175951.24</v>
      </c>
    </row>
    <row r="127" spans="1:11" ht="18.75" x14ac:dyDescent="0.3">
      <c r="A127" s="1" t="s">
        <v>83</v>
      </c>
      <c r="B127" s="2" t="s">
        <v>84</v>
      </c>
      <c r="C127" s="1" t="s">
        <v>26</v>
      </c>
      <c r="D127" s="1" t="s">
        <v>43</v>
      </c>
      <c r="E127" s="1" t="s">
        <v>85</v>
      </c>
      <c r="F127" s="9">
        <v>37552</v>
      </c>
      <c r="G127" s="9">
        <v>41384</v>
      </c>
      <c r="H127" s="14">
        <v>98.72</v>
      </c>
      <c r="I127">
        <v>8813</v>
      </c>
      <c r="J127" s="1" t="s">
        <v>15</v>
      </c>
      <c r="K127" s="12">
        <f t="shared" si="2"/>
        <v>87847.72</v>
      </c>
    </row>
    <row r="128" spans="1:11" ht="18.75" x14ac:dyDescent="0.3">
      <c r="A128" s="1" t="s">
        <v>640</v>
      </c>
      <c r="B128" s="2" t="s">
        <v>641</v>
      </c>
      <c r="C128" s="1" t="s">
        <v>12</v>
      </c>
      <c r="D128" s="1" t="s">
        <v>13</v>
      </c>
      <c r="E128" s="1" t="s">
        <v>642</v>
      </c>
      <c r="F128" s="9">
        <v>53030</v>
      </c>
      <c r="G128" s="9">
        <v>57568</v>
      </c>
      <c r="H128" s="14">
        <v>83.39</v>
      </c>
      <c r="I128">
        <v>8917</v>
      </c>
      <c r="J128" s="1" t="s">
        <v>32</v>
      </c>
      <c r="K128" s="12">
        <f t="shared" si="2"/>
        <v>119598.39</v>
      </c>
    </row>
    <row r="129" spans="1:11" ht="18.75" x14ac:dyDescent="0.3">
      <c r="A129" s="1" t="s">
        <v>643</v>
      </c>
      <c r="B129" s="2" t="s">
        <v>644</v>
      </c>
      <c r="C129" s="1" t="s">
        <v>39</v>
      </c>
      <c r="D129" s="1" t="s">
        <v>13</v>
      </c>
      <c r="E129" s="1" t="s">
        <v>645</v>
      </c>
      <c r="F129" s="9">
        <v>39947</v>
      </c>
      <c r="G129" s="9">
        <v>47464</v>
      </c>
      <c r="H129" s="14">
        <v>97.78</v>
      </c>
      <c r="I129">
        <v>7062</v>
      </c>
      <c r="J129" s="1" t="s">
        <v>36</v>
      </c>
      <c r="K129" s="12">
        <f t="shared" si="2"/>
        <v>94570.78</v>
      </c>
    </row>
    <row r="130" spans="1:11" ht="18.75" x14ac:dyDescent="0.3">
      <c r="A130" s="1" t="s">
        <v>646</v>
      </c>
      <c r="B130" s="2" t="s">
        <v>647</v>
      </c>
      <c r="C130" s="1" t="s">
        <v>18</v>
      </c>
      <c r="D130" s="1" t="s">
        <v>43</v>
      </c>
      <c r="E130" s="1" t="s">
        <v>648</v>
      </c>
      <c r="F130" s="9">
        <v>56266</v>
      </c>
      <c r="G130" s="9">
        <v>61228</v>
      </c>
      <c r="H130" s="14">
        <v>96.96</v>
      </c>
      <c r="I130">
        <v>8316</v>
      </c>
      <c r="J130" s="1" t="s">
        <v>32</v>
      </c>
      <c r="K130" s="12">
        <f t="shared" si="2"/>
        <v>125906.96</v>
      </c>
    </row>
    <row r="131" spans="1:11" ht="18.75" x14ac:dyDescent="0.3">
      <c r="A131" s="1" t="s">
        <v>649</v>
      </c>
      <c r="B131" s="2" t="s">
        <v>650</v>
      </c>
      <c r="C131" s="1" t="s">
        <v>39</v>
      </c>
      <c r="D131" s="1" t="s">
        <v>53</v>
      </c>
      <c r="E131" s="1" t="s">
        <v>651</v>
      </c>
      <c r="F131" s="9">
        <v>40726</v>
      </c>
      <c r="G131" s="9">
        <v>49457</v>
      </c>
      <c r="H131" s="14">
        <v>88.56</v>
      </c>
      <c r="I131">
        <v>7894</v>
      </c>
      <c r="J131" s="1" t="s">
        <v>32</v>
      </c>
      <c r="K131" s="12">
        <f t="shared" si="2"/>
        <v>98165.56</v>
      </c>
    </row>
    <row r="132" spans="1:11" ht="18.75" x14ac:dyDescent="0.3">
      <c r="A132" s="1" t="s">
        <v>652</v>
      </c>
      <c r="B132" s="2" t="s">
        <v>653</v>
      </c>
      <c r="C132" s="1" t="s">
        <v>66</v>
      </c>
      <c r="D132" s="1" t="s">
        <v>43</v>
      </c>
      <c r="E132" s="1" t="s">
        <v>151</v>
      </c>
      <c r="F132" s="9">
        <v>93841</v>
      </c>
      <c r="G132" s="9">
        <v>99674</v>
      </c>
      <c r="H132" s="14">
        <v>91.61</v>
      </c>
      <c r="I132">
        <v>4535</v>
      </c>
      <c r="J132" s="1" t="s">
        <v>36</v>
      </c>
      <c r="K132" s="12">
        <f t="shared" si="2"/>
        <v>198141.61</v>
      </c>
    </row>
    <row r="133" spans="1:11" ht="18.75" x14ac:dyDescent="0.3">
      <c r="A133" s="1" t="s">
        <v>654</v>
      </c>
      <c r="B133" s="2" t="s">
        <v>655</v>
      </c>
      <c r="C133" s="1" t="s">
        <v>66</v>
      </c>
      <c r="D133" s="1" t="s">
        <v>13</v>
      </c>
      <c r="E133" s="1" t="s">
        <v>656</v>
      </c>
      <c r="F133" s="9">
        <v>92749</v>
      </c>
      <c r="G133" s="9">
        <v>102313</v>
      </c>
      <c r="H133" s="14">
        <v>95.85</v>
      </c>
      <c r="I133">
        <v>8374</v>
      </c>
      <c r="J133" s="1" t="s">
        <v>32</v>
      </c>
      <c r="K133" s="12">
        <f t="shared" si="2"/>
        <v>203531.85</v>
      </c>
    </row>
    <row r="134" spans="1:11" ht="18.75" x14ac:dyDescent="0.3">
      <c r="A134" s="1" t="s">
        <v>657</v>
      </c>
      <c r="B134" s="2" t="s">
        <v>658</v>
      </c>
      <c r="C134" s="1" t="s">
        <v>26</v>
      </c>
      <c r="D134" s="1" t="s">
        <v>27</v>
      </c>
      <c r="E134" s="1" t="s">
        <v>659</v>
      </c>
      <c r="F134" s="9">
        <v>56241</v>
      </c>
      <c r="G134" s="9">
        <v>61512</v>
      </c>
      <c r="H134" s="14">
        <v>96.42</v>
      </c>
      <c r="I134">
        <v>3133</v>
      </c>
      <c r="J134" s="1" t="s">
        <v>32</v>
      </c>
      <c r="K134" s="12">
        <f t="shared" si="2"/>
        <v>120982.42</v>
      </c>
    </row>
    <row r="135" spans="1:11" ht="18.75" x14ac:dyDescent="0.3">
      <c r="A135" s="1" t="s">
        <v>660</v>
      </c>
      <c r="B135" s="2" t="s">
        <v>661</v>
      </c>
      <c r="C135" s="1" t="s">
        <v>18</v>
      </c>
      <c r="D135" s="1" t="s">
        <v>27</v>
      </c>
      <c r="E135" s="1" t="s">
        <v>662</v>
      </c>
      <c r="F135" s="9">
        <v>83655</v>
      </c>
      <c r="G135" s="9">
        <v>94740</v>
      </c>
      <c r="H135" s="14">
        <v>98.82</v>
      </c>
      <c r="I135">
        <v>7827</v>
      </c>
      <c r="J135" s="1" t="s">
        <v>907</v>
      </c>
      <c r="K135" s="12">
        <f t="shared" si="2"/>
        <v>186320.82</v>
      </c>
    </row>
    <row r="136" spans="1:11" ht="18.75" x14ac:dyDescent="0.3">
      <c r="A136" s="1" t="s">
        <v>663</v>
      </c>
      <c r="B136" s="2" t="s">
        <v>664</v>
      </c>
      <c r="C136" s="1" t="s">
        <v>39</v>
      </c>
      <c r="D136" s="1" t="s">
        <v>53</v>
      </c>
      <c r="E136" s="1" t="s">
        <v>665</v>
      </c>
      <c r="F136" s="9">
        <v>56012</v>
      </c>
      <c r="G136" s="9">
        <v>62481</v>
      </c>
      <c r="H136" s="14">
        <v>90.09</v>
      </c>
      <c r="I136">
        <v>6205</v>
      </c>
      <c r="J136" s="1" t="s">
        <v>15</v>
      </c>
      <c r="K136" s="12">
        <f t="shared" si="2"/>
        <v>124788.09</v>
      </c>
    </row>
    <row r="137" spans="1:11" ht="18.75" x14ac:dyDescent="0.3">
      <c r="A137" s="1" t="s">
        <v>666</v>
      </c>
      <c r="B137" s="2" t="s">
        <v>667</v>
      </c>
      <c r="C137" s="1" t="s">
        <v>12</v>
      </c>
      <c r="D137" s="1" t="s">
        <v>53</v>
      </c>
      <c r="E137" s="1" t="s">
        <v>668</v>
      </c>
      <c r="F137" s="9">
        <v>94130</v>
      </c>
      <c r="G137" s="9">
        <v>101857</v>
      </c>
      <c r="H137" s="14">
        <v>98.75</v>
      </c>
      <c r="I137">
        <v>5398</v>
      </c>
      <c r="J137" s="1" t="s">
        <v>32</v>
      </c>
      <c r="K137" s="12">
        <f t="shared" si="2"/>
        <v>201483.75</v>
      </c>
    </row>
    <row r="138" spans="1:11" ht="18.75" x14ac:dyDescent="0.3">
      <c r="A138" s="1" t="s">
        <v>86</v>
      </c>
      <c r="B138" s="2" t="s">
        <v>87</v>
      </c>
      <c r="C138" s="1" t="s">
        <v>12</v>
      </c>
      <c r="D138" s="1" t="s">
        <v>13</v>
      </c>
      <c r="E138" s="1" t="s">
        <v>88</v>
      </c>
      <c r="F138" s="9">
        <v>109364</v>
      </c>
      <c r="G138" s="9">
        <v>112654</v>
      </c>
      <c r="H138" s="14">
        <v>83.54</v>
      </c>
      <c r="I138">
        <v>5981</v>
      </c>
      <c r="J138" s="1" t="s">
        <v>15</v>
      </c>
      <c r="K138" s="12">
        <f t="shared" si="2"/>
        <v>228082.54</v>
      </c>
    </row>
    <row r="139" spans="1:11" ht="18.75" x14ac:dyDescent="0.3">
      <c r="A139" s="1" t="s">
        <v>669</v>
      </c>
      <c r="B139" s="2" t="s">
        <v>670</v>
      </c>
      <c r="C139" s="1" t="s">
        <v>39</v>
      </c>
      <c r="D139" s="1" t="s">
        <v>27</v>
      </c>
      <c r="E139" s="1" t="s">
        <v>82</v>
      </c>
      <c r="F139" s="9">
        <v>65903</v>
      </c>
      <c r="G139" s="9">
        <v>74229</v>
      </c>
      <c r="H139" s="14">
        <v>99.9</v>
      </c>
      <c r="I139">
        <v>5071</v>
      </c>
      <c r="J139" s="1" t="s">
        <v>907</v>
      </c>
      <c r="K139" s="12">
        <f t="shared" si="2"/>
        <v>145302.9</v>
      </c>
    </row>
    <row r="140" spans="1:11" ht="18.75" x14ac:dyDescent="0.3">
      <c r="A140" s="1" t="s">
        <v>671</v>
      </c>
      <c r="B140" s="2" t="s">
        <v>672</v>
      </c>
      <c r="C140" s="1" t="s">
        <v>66</v>
      </c>
      <c r="D140" s="1" t="s">
        <v>43</v>
      </c>
      <c r="E140" s="1" t="s">
        <v>673</v>
      </c>
      <c r="F140" s="9">
        <v>78947</v>
      </c>
      <c r="G140" s="9">
        <v>83339</v>
      </c>
      <c r="H140" s="14">
        <v>84.48</v>
      </c>
      <c r="I140">
        <v>4350</v>
      </c>
      <c r="J140" s="1" t="s">
        <v>32</v>
      </c>
      <c r="K140" s="12">
        <f t="shared" si="2"/>
        <v>166720.48000000001</v>
      </c>
    </row>
    <row r="141" spans="1:11" ht="18.75" x14ac:dyDescent="0.3">
      <c r="A141" s="1" t="s">
        <v>674</v>
      </c>
      <c r="B141" s="2" t="s">
        <v>675</v>
      </c>
      <c r="C141" s="1" t="s">
        <v>26</v>
      </c>
      <c r="D141" s="1" t="s">
        <v>43</v>
      </c>
      <c r="E141" s="1" t="s">
        <v>676</v>
      </c>
      <c r="F141" s="9">
        <v>93799</v>
      </c>
      <c r="G141" s="9">
        <v>95885</v>
      </c>
      <c r="H141" s="14">
        <v>98.31</v>
      </c>
      <c r="I141">
        <v>2155</v>
      </c>
      <c r="J141" s="1" t="s">
        <v>15</v>
      </c>
      <c r="K141" s="12">
        <f t="shared" si="2"/>
        <v>191937.31</v>
      </c>
    </row>
    <row r="142" spans="1:11" ht="18.75" x14ac:dyDescent="0.3">
      <c r="A142" s="1" t="s">
        <v>677</v>
      </c>
      <c r="B142" s="2" t="s">
        <v>678</v>
      </c>
      <c r="C142" s="1" t="s">
        <v>26</v>
      </c>
      <c r="D142" s="1" t="s">
        <v>43</v>
      </c>
      <c r="E142" s="1" t="s">
        <v>679</v>
      </c>
      <c r="F142" s="9">
        <v>114807</v>
      </c>
      <c r="G142" s="9">
        <v>125454</v>
      </c>
      <c r="H142" s="14">
        <v>89.62</v>
      </c>
      <c r="I142">
        <v>8358</v>
      </c>
      <c r="J142" s="1" t="s">
        <v>36</v>
      </c>
      <c r="K142" s="12">
        <f t="shared" si="2"/>
        <v>248708.62</v>
      </c>
    </row>
    <row r="143" spans="1:11" ht="18.75" x14ac:dyDescent="0.3">
      <c r="A143" s="1" t="s">
        <v>680</v>
      </c>
      <c r="B143" s="2" t="s">
        <v>681</v>
      </c>
      <c r="C143" s="1" t="s">
        <v>18</v>
      </c>
      <c r="D143" s="1" t="s">
        <v>53</v>
      </c>
      <c r="E143" s="1" t="s">
        <v>682</v>
      </c>
      <c r="F143" s="9">
        <v>41258</v>
      </c>
      <c r="G143" s="9">
        <v>47164</v>
      </c>
      <c r="H143" s="14">
        <v>89.56</v>
      </c>
      <c r="I143">
        <v>8503</v>
      </c>
      <c r="J143" s="1" t="s">
        <v>15</v>
      </c>
      <c r="K143" s="12">
        <f t="shared" si="2"/>
        <v>97014.56</v>
      </c>
    </row>
    <row r="144" spans="1:11" ht="18.75" x14ac:dyDescent="0.3">
      <c r="A144" s="1" t="s">
        <v>683</v>
      </c>
      <c r="B144" s="2" t="s">
        <v>684</v>
      </c>
      <c r="C144" s="1" t="s">
        <v>18</v>
      </c>
      <c r="D144" s="1" t="s">
        <v>13</v>
      </c>
      <c r="E144" s="1" t="s">
        <v>685</v>
      </c>
      <c r="F144" s="9">
        <v>100513</v>
      </c>
      <c r="G144" s="9">
        <v>112289</v>
      </c>
      <c r="H144" s="14">
        <v>91.65</v>
      </c>
      <c r="I144">
        <v>7176</v>
      </c>
      <c r="J144" s="1" t="s">
        <v>15</v>
      </c>
      <c r="K144" s="12">
        <f t="shared" si="2"/>
        <v>220069.65</v>
      </c>
    </row>
    <row r="145" spans="1:11" ht="18.75" x14ac:dyDescent="0.3">
      <c r="A145" s="1" t="s">
        <v>686</v>
      </c>
      <c r="B145" s="2" t="s">
        <v>687</v>
      </c>
      <c r="C145" s="1" t="s">
        <v>39</v>
      </c>
      <c r="D145" s="1" t="s">
        <v>13</v>
      </c>
      <c r="E145" s="1" t="s">
        <v>688</v>
      </c>
      <c r="F145" s="9">
        <v>73177</v>
      </c>
      <c r="G145" s="9">
        <v>82209</v>
      </c>
      <c r="H145" s="14">
        <v>82.03</v>
      </c>
      <c r="I145">
        <v>4890</v>
      </c>
      <c r="J145" s="1" t="s">
        <v>36</v>
      </c>
      <c r="K145" s="12">
        <f t="shared" si="2"/>
        <v>160358.03</v>
      </c>
    </row>
    <row r="146" spans="1:11" ht="18.75" x14ac:dyDescent="0.3">
      <c r="A146" s="1" t="s">
        <v>689</v>
      </c>
      <c r="B146" s="2" t="s">
        <v>690</v>
      </c>
      <c r="C146" s="1" t="s">
        <v>18</v>
      </c>
      <c r="D146" s="1" t="s">
        <v>13</v>
      </c>
      <c r="E146" s="1" t="s">
        <v>691</v>
      </c>
      <c r="F146" s="9">
        <v>46221</v>
      </c>
      <c r="G146" s="9">
        <v>56797</v>
      </c>
      <c r="H146" s="14">
        <v>99.54</v>
      </c>
      <c r="I146">
        <v>2554</v>
      </c>
      <c r="J146" s="1" t="s">
        <v>32</v>
      </c>
      <c r="K146" s="12">
        <f t="shared" si="2"/>
        <v>105671.54</v>
      </c>
    </row>
    <row r="147" spans="1:11" ht="18.75" x14ac:dyDescent="0.3">
      <c r="A147" s="1" t="s">
        <v>692</v>
      </c>
      <c r="B147" s="2" t="s">
        <v>693</v>
      </c>
      <c r="C147" s="1" t="s">
        <v>12</v>
      </c>
      <c r="D147" s="1" t="s">
        <v>53</v>
      </c>
      <c r="E147" s="1" t="s">
        <v>79</v>
      </c>
      <c r="F147" s="9">
        <v>107633</v>
      </c>
      <c r="G147" s="9">
        <v>109966</v>
      </c>
      <c r="H147" s="14">
        <v>89.03</v>
      </c>
      <c r="I147">
        <v>5851</v>
      </c>
      <c r="J147" s="1" t="s">
        <v>36</v>
      </c>
      <c r="K147" s="12">
        <f t="shared" si="2"/>
        <v>223539.03</v>
      </c>
    </row>
    <row r="148" spans="1:11" ht="18.75" x14ac:dyDescent="0.3">
      <c r="A148" s="1" t="s">
        <v>694</v>
      </c>
      <c r="B148" s="2" t="s">
        <v>695</v>
      </c>
      <c r="C148" s="1" t="s">
        <v>39</v>
      </c>
      <c r="D148" s="1" t="s">
        <v>27</v>
      </c>
      <c r="E148" s="1" t="s">
        <v>696</v>
      </c>
      <c r="F148" s="9">
        <v>37128</v>
      </c>
      <c r="G148" s="9">
        <v>44978</v>
      </c>
      <c r="H148" s="14">
        <v>96.19</v>
      </c>
      <c r="I148">
        <v>4824</v>
      </c>
      <c r="J148" s="1" t="s">
        <v>32</v>
      </c>
      <c r="K148" s="12">
        <f t="shared" si="2"/>
        <v>87026.19</v>
      </c>
    </row>
    <row r="149" spans="1:11" ht="18.75" x14ac:dyDescent="0.3">
      <c r="A149" s="1" t="s">
        <v>89</v>
      </c>
      <c r="B149" s="2" t="s">
        <v>90</v>
      </c>
      <c r="C149" s="1" t="s">
        <v>18</v>
      </c>
      <c r="D149" s="1" t="s">
        <v>53</v>
      </c>
      <c r="E149" s="1" t="s">
        <v>91</v>
      </c>
      <c r="F149" s="9">
        <v>97296</v>
      </c>
      <c r="G149" s="9">
        <v>108303</v>
      </c>
      <c r="H149" s="14">
        <v>84.97</v>
      </c>
      <c r="I149">
        <v>6322</v>
      </c>
      <c r="J149" s="1" t="s">
        <v>15</v>
      </c>
      <c r="K149" s="12">
        <f t="shared" si="2"/>
        <v>212005.97</v>
      </c>
    </row>
    <row r="150" spans="1:11" ht="18.75" x14ac:dyDescent="0.3">
      <c r="A150" s="1" t="s">
        <v>697</v>
      </c>
      <c r="B150" s="2" t="s">
        <v>698</v>
      </c>
      <c r="C150" s="1" t="s">
        <v>39</v>
      </c>
      <c r="D150" s="1" t="s">
        <v>53</v>
      </c>
      <c r="E150" s="1" t="s">
        <v>699</v>
      </c>
      <c r="F150" s="9">
        <v>52486</v>
      </c>
      <c r="G150" s="9">
        <v>55212</v>
      </c>
      <c r="H150" s="14">
        <v>88.34</v>
      </c>
      <c r="I150">
        <v>4773</v>
      </c>
      <c r="J150" s="1" t="s">
        <v>32</v>
      </c>
      <c r="K150" s="12">
        <f t="shared" si="2"/>
        <v>112559.34</v>
      </c>
    </row>
    <row r="151" spans="1:11" ht="18.75" x14ac:dyDescent="0.3">
      <c r="A151" s="1" t="s">
        <v>700</v>
      </c>
      <c r="B151" s="2" t="s">
        <v>701</v>
      </c>
      <c r="C151" s="1" t="s">
        <v>66</v>
      </c>
      <c r="D151" s="1" t="s">
        <v>27</v>
      </c>
      <c r="E151" s="1" t="s">
        <v>702</v>
      </c>
      <c r="F151" s="9">
        <v>117802</v>
      </c>
      <c r="G151" s="9">
        <v>122788</v>
      </c>
      <c r="H151" s="14">
        <v>96.61</v>
      </c>
      <c r="I151">
        <v>2516</v>
      </c>
      <c r="J151" s="1" t="s">
        <v>907</v>
      </c>
      <c r="K151" s="12">
        <f t="shared" si="2"/>
        <v>243202.61</v>
      </c>
    </row>
    <row r="152" spans="1:11" ht="18.75" x14ac:dyDescent="0.3">
      <c r="A152" s="1" t="s">
        <v>703</v>
      </c>
      <c r="B152" s="2" t="s">
        <v>704</v>
      </c>
      <c r="C152" s="1" t="s">
        <v>26</v>
      </c>
      <c r="D152" s="1" t="s">
        <v>13</v>
      </c>
      <c r="E152" s="1" t="s">
        <v>705</v>
      </c>
      <c r="F152" s="9">
        <v>40741</v>
      </c>
      <c r="G152" s="9">
        <v>46009</v>
      </c>
      <c r="H152" s="14">
        <v>97.94</v>
      </c>
      <c r="I152">
        <v>4585</v>
      </c>
      <c r="J152" s="1" t="s">
        <v>36</v>
      </c>
      <c r="K152" s="12">
        <f t="shared" si="2"/>
        <v>91432.94</v>
      </c>
    </row>
    <row r="153" spans="1:11" ht="18.75" x14ac:dyDescent="0.3">
      <c r="A153" s="1" t="s">
        <v>706</v>
      </c>
      <c r="B153" s="2" t="s">
        <v>707</v>
      </c>
      <c r="C153" s="1" t="s">
        <v>39</v>
      </c>
      <c r="D153" s="1" t="s">
        <v>22</v>
      </c>
      <c r="E153" s="1" t="s">
        <v>708</v>
      </c>
      <c r="F153" s="9">
        <v>97049</v>
      </c>
      <c r="G153" s="9">
        <v>103199</v>
      </c>
      <c r="H153" s="14">
        <v>82.66</v>
      </c>
      <c r="I153">
        <v>7299</v>
      </c>
      <c r="J153" s="1" t="s">
        <v>36</v>
      </c>
      <c r="K153" s="12">
        <f t="shared" ref="K153:K216" si="3">SUM(F153:J153)</f>
        <v>207629.66</v>
      </c>
    </row>
    <row r="154" spans="1:11" ht="18.75" x14ac:dyDescent="0.3">
      <c r="A154" s="1" t="s">
        <v>709</v>
      </c>
      <c r="B154" s="2" t="s">
        <v>710</v>
      </c>
      <c r="C154" s="1" t="s">
        <v>66</v>
      </c>
      <c r="D154" s="1" t="s">
        <v>53</v>
      </c>
      <c r="E154" s="1" t="s">
        <v>711</v>
      </c>
      <c r="F154" s="9">
        <v>78506</v>
      </c>
      <c r="G154" s="9">
        <v>84982</v>
      </c>
      <c r="H154" s="14">
        <v>84.24</v>
      </c>
      <c r="I154">
        <v>5014</v>
      </c>
      <c r="J154" s="1" t="s">
        <v>32</v>
      </c>
      <c r="K154" s="12">
        <f t="shared" si="3"/>
        <v>168586.23999999999</v>
      </c>
    </row>
    <row r="155" spans="1:11" ht="18.75" x14ac:dyDescent="0.3">
      <c r="A155" s="1" t="s">
        <v>712</v>
      </c>
      <c r="B155" s="2" t="s">
        <v>713</v>
      </c>
      <c r="C155" s="1" t="s">
        <v>66</v>
      </c>
      <c r="D155" s="1" t="s">
        <v>22</v>
      </c>
      <c r="E155" s="1" t="s">
        <v>240</v>
      </c>
      <c r="F155" s="9">
        <v>85678</v>
      </c>
      <c r="G155" s="9">
        <v>93232</v>
      </c>
      <c r="H155" s="14">
        <v>99.53</v>
      </c>
      <c r="I155">
        <v>6064</v>
      </c>
      <c r="J155" s="1" t="s">
        <v>32</v>
      </c>
      <c r="K155" s="12">
        <f t="shared" si="3"/>
        <v>185073.53</v>
      </c>
    </row>
    <row r="156" spans="1:11" ht="18.75" x14ac:dyDescent="0.3">
      <c r="A156" s="1" t="s">
        <v>714</v>
      </c>
      <c r="B156" s="2" t="s">
        <v>715</v>
      </c>
      <c r="C156" s="1" t="s">
        <v>39</v>
      </c>
      <c r="D156" s="1" t="s">
        <v>13</v>
      </c>
      <c r="E156" s="1" t="s">
        <v>716</v>
      </c>
      <c r="F156" s="9">
        <v>45828</v>
      </c>
      <c r="G156" s="9">
        <v>54783</v>
      </c>
      <c r="H156" s="14">
        <v>83.42</v>
      </c>
      <c r="I156">
        <v>6935</v>
      </c>
      <c r="J156" s="1" t="s">
        <v>36</v>
      </c>
      <c r="K156" s="12">
        <f t="shared" si="3"/>
        <v>107629.42</v>
      </c>
    </row>
    <row r="157" spans="1:11" ht="18.75" x14ac:dyDescent="0.3">
      <c r="A157" s="1" t="s">
        <v>717</v>
      </c>
      <c r="B157" s="2" t="s">
        <v>718</v>
      </c>
      <c r="C157" s="1" t="s">
        <v>26</v>
      </c>
      <c r="D157" s="1" t="s">
        <v>53</v>
      </c>
      <c r="E157" s="1" t="s">
        <v>719</v>
      </c>
      <c r="F157" s="9">
        <v>48447</v>
      </c>
      <c r="G157" s="9">
        <v>51758</v>
      </c>
      <c r="H157" s="14">
        <v>87.9</v>
      </c>
      <c r="I157">
        <v>4421</v>
      </c>
      <c r="J157" s="1" t="s">
        <v>32</v>
      </c>
      <c r="K157" s="12">
        <f t="shared" si="3"/>
        <v>104713.9</v>
      </c>
    </row>
    <row r="158" spans="1:11" ht="18.75" x14ac:dyDescent="0.3">
      <c r="A158" s="1" t="s">
        <v>720</v>
      </c>
      <c r="B158" s="2" t="s">
        <v>721</v>
      </c>
      <c r="C158" s="1" t="s">
        <v>26</v>
      </c>
      <c r="D158" s="1" t="s">
        <v>13</v>
      </c>
      <c r="E158" s="1" t="s">
        <v>722</v>
      </c>
      <c r="F158" s="9">
        <v>56842</v>
      </c>
      <c r="G158" s="9">
        <v>66114</v>
      </c>
      <c r="H158" s="14">
        <v>88.33</v>
      </c>
      <c r="I158">
        <v>2346</v>
      </c>
      <c r="J158" s="1" t="s">
        <v>36</v>
      </c>
      <c r="K158" s="12">
        <f t="shared" si="3"/>
        <v>125390.33</v>
      </c>
    </row>
    <row r="159" spans="1:11" ht="18.75" x14ac:dyDescent="0.3">
      <c r="A159" s="1" t="s">
        <v>723</v>
      </c>
      <c r="B159" s="2" t="s">
        <v>724</v>
      </c>
      <c r="C159" s="1" t="s">
        <v>66</v>
      </c>
      <c r="D159" s="1" t="s">
        <v>22</v>
      </c>
      <c r="E159" s="1" t="s">
        <v>725</v>
      </c>
      <c r="F159" s="9">
        <v>118816</v>
      </c>
      <c r="G159" s="9">
        <v>121755</v>
      </c>
      <c r="H159" s="14">
        <v>83.35</v>
      </c>
      <c r="I159">
        <v>7222</v>
      </c>
      <c r="J159" s="1" t="s">
        <v>32</v>
      </c>
      <c r="K159" s="12">
        <f t="shared" si="3"/>
        <v>247876.35</v>
      </c>
    </row>
    <row r="160" spans="1:11" ht="18.75" x14ac:dyDescent="0.3">
      <c r="A160" s="1" t="s">
        <v>92</v>
      </c>
      <c r="B160" s="2" t="s">
        <v>93</v>
      </c>
      <c r="C160" s="1" t="s">
        <v>26</v>
      </c>
      <c r="D160" s="1" t="s">
        <v>53</v>
      </c>
      <c r="E160" s="1" t="s">
        <v>94</v>
      </c>
      <c r="F160" s="9">
        <v>61365</v>
      </c>
      <c r="G160" s="9">
        <v>68472</v>
      </c>
      <c r="H160" s="14">
        <v>89.18</v>
      </c>
      <c r="I160">
        <v>7502</v>
      </c>
      <c r="J160" s="1" t="s">
        <v>32</v>
      </c>
      <c r="K160" s="12">
        <f t="shared" si="3"/>
        <v>137428.18</v>
      </c>
    </row>
    <row r="161" spans="1:11" ht="18.75" x14ac:dyDescent="0.3">
      <c r="A161" s="1" t="s">
        <v>726</v>
      </c>
      <c r="B161" s="2" t="s">
        <v>727</v>
      </c>
      <c r="C161" s="1" t="s">
        <v>66</v>
      </c>
      <c r="D161" s="1" t="s">
        <v>27</v>
      </c>
      <c r="E161" s="1" t="s">
        <v>728</v>
      </c>
      <c r="F161" s="9">
        <v>39081</v>
      </c>
      <c r="G161" s="9">
        <v>43420</v>
      </c>
      <c r="H161" s="14">
        <v>97.28</v>
      </c>
      <c r="I161">
        <v>7554</v>
      </c>
      <c r="J161" s="1" t="s">
        <v>15</v>
      </c>
      <c r="K161" s="12">
        <f t="shared" si="3"/>
        <v>90152.28</v>
      </c>
    </row>
    <row r="162" spans="1:11" ht="18.75" x14ac:dyDescent="0.3">
      <c r="A162" s="1" t="s">
        <v>729</v>
      </c>
      <c r="B162" s="2" t="s">
        <v>730</v>
      </c>
      <c r="C162" s="1" t="s">
        <v>12</v>
      </c>
      <c r="D162" s="1" t="s">
        <v>13</v>
      </c>
      <c r="E162" s="1" t="s">
        <v>731</v>
      </c>
      <c r="F162" s="9">
        <v>65932</v>
      </c>
      <c r="G162" s="9">
        <v>73933</v>
      </c>
      <c r="H162" s="14">
        <v>88.52</v>
      </c>
      <c r="I162">
        <v>6646</v>
      </c>
      <c r="J162" s="1" t="s">
        <v>15</v>
      </c>
      <c r="K162" s="12">
        <f t="shared" si="3"/>
        <v>146599.51999999999</v>
      </c>
    </row>
    <row r="163" spans="1:11" ht="18.75" x14ac:dyDescent="0.3">
      <c r="A163" s="1" t="s">
        <v>732</v>
      </c>
      <c r="B163" s="2" t="s">
        <v>733</v>
      </c>
      <c r="C163" s="1" t="s">
        <v>18</v>
      </c>
      <c r="D163" s="1" t="s">
        <v>43</v>
      </c>
      <c r="E163" s="1" t="s">
        <v>734</v>
      </c>
      <c r="F163" s="9">
        <v>83623</v>
      </c>
      <c r="G163" s="9">
        <v>91718</v>
      </c>
      <c r="H163" s="14">
        <v>89.99</v>
      </c>
      <c r="I163">
        <v>2629</v>
      </c>
      <c r="J163" s="1" t="s">
        <v>32</v>
      </c>
      <c r="K163" s="12">
        <f t="shared" si="3"/>
        <v>178059.99</v>
      </c>
    </row>
    <row r="164" spans="1:11" ht="18.75" x14ac:dyDescent="0.3">
      <c r="A164" s="1" t="s">
        <v>735</v>
      </c>
      <c r="B164" s="2" t="s">
        <v>736</v>
      </c>
      <c r="C164" s="1" t="s">
        <v>12</v>
      </c>
      <c r="D164" s="1" t="s">
        <v>27</v>
      </c>
      <c r="E164" s="1" t="s">
        <v>737</v>
      </c>
      <c r="F164" s="9">
        <v>87171</v>
      </c>
      <c r="G164" s="9">
        <v>94321</v>
      </c>
      <c r="H164" s="14">
        <v>93.69</v>
      </c>
      <c r="I164">
        <v>4044</v>
      </c>
      <c r="J164" s="1" t="s">
        <v>32</v>
      </c>
      <c r="K164" s="12">
        <f t="shared" si="3"/>
        <v>185629.69</v>
      </c>
    </row>
    <row r="165" spans="1:11" ht="18.75" x14ac:dyDescent="0.3">
      <c r="A165" s="1" t="s">
        <v>738</v>
      </c>
      <c r="B165" s="2" t="s">
        <v>739</v>
      </c>
      <c r="C165" s="1" t="s">
        <v>12</v>
      </c>
      <c r="D165" s="1" t="s">
        <v>22</v>
      </c>
      <c r="E165" s="1" t="s">
        <v>740</v>
      </c>
      <c r="F165" s="9">
        <v>100410</v>
      </c>
      <c r="G165" s="9">
        <v>110892</v>
      </c>
      <c r="H165" s="14">
        <v>88.97</v>
      </c>
      <c r="I165">
        <v>6601</v>
      </c>
      <c r="J165" s="1" t="s">
        <v>36</v>
      </c>
      <c r="K165" s="12">
        <f t="shared" si="3"/>
        <v>217991.97</v>
      </c>
    </row>
    <row r="166" spans="1:11" ht="18.75" x14ac:dyDescent="0.3">
      <c r="A166" s="1" t="s">
        <v>741</v>
      </c>
      <c r="B166" s="2" t="s">
        <v>742</v>
      </c>
      <c r="C166" s="1" t="s">
        <v>39</v>
      </c>
      <c r="D166" s="1" t="s">
        <v>27</v>
      </c>
      <c r="E166" s="1" t="s">
        <v>743</v>
      </c>
      <c r="F166" s="9">
        <v>63124</v>
      </c>
      <c r="G166" s="9">
        <v>69802</v>
      </c>
      <c r="H166" s="14">
        <v>94.49</v>
      </c>
      <c r="I166">
        <v>6023</v>
      </c>
      <c r="J166" s="1" t="s">
        <v>15</v>
      </c>
      <c r="K166" s="12">
        <f t="shared" si="3"/>
        <v>139043.49</v>
      </c>
    </row>
    <row r="167" spans="1:11" ht="18.75" x14ac:dyDescent="0.3">
      <c r="A167" s="1" t="s">
        <v>744</v>
      </c>
      <c r="B167" s="2" t="s">
        <v>745</v>
      </c>
      <c r="C167" s="1" t="s">
        <v>12</v>
      </c>
      <c r="D167" s="1" t="s">
        <v>22</v>
      </c>
      <c r="E167" s="1" t="s">
        <v>746</v>
      </c>
      <c r="F167" s="9">
        <v>94250</v>
      </c>
      <c r="G167" s="9">
        <v>99078</v>
      </c>
      <c r="H167" s="14">
        <v>98.18</v>
      </c>
      <c r="I167">
        <v>5646</v>
      </c>
      <c r="J167" s="1" t="s">
        <v>32</v>
      </c>
      <c r="K167" s="12">
        <f t="shared" si="3"/>
        <v>199072.18</v>
      </c>
    </row>
    <row r="168" spans="1:11" ht="18.75" x14ac:dyDescent="0.3">
      <c r="A168" s="1" t="s">
        <v>747</v>
      </c>
      <c r="B168" s="2" t="s">
        <v>748</v>
      </c>
      <c r="C168" s="1" t="s">
        <v>39</v>
      </c>
      <c r="D168" s="1" t="s">
        <v>43</v>
      </c>
      <c r="E168" s="1" t="s">
        <v>749</v>
      </c>
      <c r="F168" s="9">
        <v>43511</v>
      </c>
      <c r="G168" s="9">
        <v>54522</v>
      </c>
      <c r="H168" s="14">
        <v>91.76</v>
      </c>
      <c r="I168">
        <v>4457</v>
      </c>
      <c r="J168" s="1" t="s">
        <v>36</v>
      </c>
      <c r="K168" s="12">
        <f t="shared" si="3"/>
        <v>102581.75999999999</v>
      </c>
    </row>
    <row r="169" spans="1:11" ht="18.75" x14ac:dyDescent="0.3">
      <c r="A169" s="1" t="s">
        <v>750</v>
      </c>
      <c r="B169" s="2" t="s">
        <v>751</v>
      </c>
      <c r="C169" s="1" t="s">
        <v>39</v>
      </c>
      <c r="D169" s="1" t="s">
        <v>43</v>
      </c>
      <c r="E169" s="1" t="s">
        <v>752</v>
      </c>
      <c r="F169" s="9">
        <v>64391</v>
      </c>
      <c r="G169" s="9">
        <v>68379</v>
      </c>
      <c r="H169" s="14">
        <v>99.73</v>
      </c>
      <c r="I169">
        <v>8488</v>
      </c>
      <c r="J169" s="1" t="s">
        <v>36</v>
      </c>
      <c r="K169" s="12">
        <f t="shared" si="3"/>
        <v>141357.73000000001</v>
      </c>
    </row>
    <row r="170" spans="1:11" ht="18.75" x14ac:dyDescent="0.3">
      <c r="A170" s="1" t="s">
        <v>753</v>
      </c>
      <c r="B170" s="2" t="s">
        <v>754</v>
      </c>
      <c r="C170" s="1" t="s">
        <v>18</v>
      </c>
      <c r="D170" s="1" t="s">
        <v>43</v>
      </c>
      <c r="E170" s="1" t="s">
        <v>755</v>
      </c>
      <c r="F170" s="9">
        <v>82303</v>
      </c>
      <c r="G170" s="9">
        <v>93380</v>
      </c>
      <c r="H170" s="14">
        <v>92.3</v>
      </c>
      <c r="I170">
        <v>5828</v>
      </c>
      <c r="J170" s="1" t="s">
        <v>32</v>
      </c>
      <c r="K170" s="12">
        <f t="shared" si="3"/>
        <v>181603.3</v>
      </c>
    </row>
    <row r="171" spans="1:11" ht="18.75" x14ac:dyDescent="0.3">
      <c r="A171" s="1" t="s">
        <v>95</v>
      </c>
      <c r="B171" s="2" t="s">
        <v>96</v>
      </c>
      <c r="C171" s="1" t="s">
        <v>12</v>
      </c>
      <c r="D171" s="1" t="s">
        <v>13</v>
      </c>
      <c r="E171" s="1" t="s">
        <v>97</v>
      </c>
      <c r="F171" s="9">
        <v>50860</v>
      </c>
      <c r="G171" s="9">
        <v>56921</v>
      </c>
      <c r="H171" s="14">
        <v>86.04</v>
      </c>
      <c r="I171">
        <v>4769</v>
      </c>
      <c r="J171" s="1" t="s">
        <v>32</v>
      </c>
      <c r="K171" s="12">
        <f t="shared" si="3"/>
        <v>112636.04</v>
      </c>
    </row>
    <row r="172" spans="1:11" ht="18.75" x14ac:dyDescent="0.3">
      <c r="A172" s="1" t="s">
        <v>756</v>
      </c>
      <c r="B172" s="2" t="s">
        <v>757</v>
      </c>
      <c r="C172" s="1" t="s">
        <v>66</v>
      </c>
      <c r="D172" s="1" t="s">
        <v>13</v>
      </c>
      <c r="E172" s="1" t="s">
        <v>758</v>
      </c>
      <c r="F172" s="9">
        <v>43617</v>
      </c>
      <c r="G172" s="9">
        <v>50684</v>
      </c>
      <c r="H172" s="14">
        <v>89.17</v>
      </c>
      <c r="I172">
        <v>7873</v>
      </c>
      <c r="J172" s="1" t="s">
        <v>36</v>
      </c>
      <c r="K172" s="12">
        <f t="shared" si="3"/>
        <v>102263.17</v>
      </c>
    </row>
    <row r="173" spans="1:11" ht="18.75" x14ac:dyDescent="0.3">
      <c r="A173" s="1" t="s">
        <v>759</v>
      </c>
      <c r="B173" s="2" t="s">
        <v>760</v>
      </c>
      <c r="C173" s="1" t="s">
        <v>12</v>
      </c>
      <c r="D173" s="1" t="s">
        <v>53</v>
      </c>
      <c r="E173" s="1" t="s">
        <v>761</v>
      </c>
      <c r="F173" s="9">
        <v>110353</v>
      </c>
      <c r="G173" s="9">
        <v>113561</v>
      </c>
      <c r="H173" s="14">
        <v>84.26</v>
      </c>
      <c r="I173">
        <v>4597</v>
      </c>
      <c r="J173" s="1" t="s">
        <v>36</v>
      </c>
      <c r="K173" s="12">
        <f t="shared" si="3"/>
        <v>228595.26</v>
      </c>
    </row>
    <row r="174" spans="1:11" ht="18.75" x14ac:dyDescent="0.3">
      <c r="A174" s="1" t="s">
        <v>762</v>
      </c>
      <c r="B174" s="2" t="s">
        <v>763</v>
      </c>
      <c r="C174" s="1" t="s">
        <v>18</v>
      </c>
      <c r="D174" s="1" t="s">
        <v>13</v>
      </c>
      <c r="E174" s="1" t="s">
        <v>764</v>
      </c>
      <c r="F174" s="9">
        <v>80156</v>
      </c>
      <c r="G174" s="9">
        <v>84258</v>
      </c>
      <c r="H174" s="14">
        <v>97.8</v>
      </c>
      <c r="I174">
        <v>8391</v>
      </c>
      <c r="J174" s="1" t="s">
        <v>15</v>
      </c>
      <c r="K174" s="12">
        <f t="shared" si="3"/>
        <v>172902.8</v>
      </c>
    </row>
    <row r="175" spans="1:11" ht="18.75" x14ac:dyDescent="0.3">
      <c r="A175" s="1" t="s">
        <v>765</v>
      </c>
      <c r="B175" s="2" t="s">
        <v>766</v>
      </c>
      <c r="C175" s="1" t="s">
        <v>12</v>
      </c>
      <c r="D175" s="1" t="s">
        <v>13</v>
      </c>
      <c r="E175" s="1" t="s">
        <v>767</v>
      </c>
      <c r="F175" s="9">
        <v>91704</v>
      </c>
      <c r="G175" s="9">
        <v>101942</v>
      </c>
      <c r="H175" s="14">
        <v>98.39</v>
      </c>
      <c r="I175">
        <v>2453</v>
      </c>
      <c r="J175" s="1" t="s">
        <v>15</v>
      </c>
      <c r="K175" s="12">
        <f t="shared" si="3"/>
        <v>196197.39</v>
      </c>
    </row>
    <row r="176" spans="1:11" ht="18.75" x14ac:dyDescent="0.3">
      <c r="A176" s="1" t="s">
        <v>768</v>
      </c>
      <c r="B176" s="2" t="s">
        <v>769</v>
      </c>
      <c r="C176" s="1" t="s">
        <v>39</v>
      </c>
      <c r="D176" s="1" t="s">
        <v>22</v>
      </c>
      <c r="E176" s="1" t="s">
        <v>770</v>
      </c>
      <c r="F176" s="9">
        <v>56581</v>
      </c>
      <c r="G176" s="9">
        <v>61234</v>
      </c>
      <c r="H176" s="14">
        <v>87.81</v>
      </c>
      <c r="I176">
        <v>7810</v>
      </c>
      <c r="J176" s="1" t="s">
        <v>32</v>
      </c>
      <c r="K176" s="12">
        <f t="shared" si="3"/>
        <v>125712.81</v>
      </c>
    </row>
    <row r="177" spans="1:11" ht="18.75" x14ac:dyDescent="0.3">
      <c r="A177" s="1" t="s">
        <v>771</v>
      </c>
      <c r="B177" s="2" t="s">
        <v>772</v>
      </c>
      <c r="C177" s="1" t="s">
        <v>26</v>
      </c>
      <c r="D177" s="1" t="s">
        <v>43</v>
      </c>
      <c r="E177" s="1" t="s">
        <v>773</v>
      </c>
      <c r="F177" s="9">
        <v>45336</v>
      </c>
      <c r="G177" s="9">
        <v>51441</v>
      </c>
      <c r="H177" s="14">
        <v>85.53</v>
      </c>
      <c r="I177">
        <v>6512</v>
      </c>
      <c r="J177" s="1" t="s">
        <v>32</v>
      </c>
      <c r="K177" s="12">
        <f t="shared" si="3"/>
        <v>103374.53</v>
      </c>
    </row>
    <row r="178" spans="1:11" ht="18.75" x14ac:dyDescent="0.3">
      <c r="A178" s="1" t="s">
        <v>774</v>
      </c>
      <c r="B178" s="2" t="s">
        <v>775</v>
      </c>
      <c r="C178" s="1" t="s">
        <v>39</v>
      </c>
      <c r="D178" s="1" t="s">
        <v>13</v>
      </c>
      <c r="E178" s="1" t="s">
        <v>776</v>
      </c>
      <c r="F178" s="9">
        <v>115534</v>
      </c>
      <c r="G178" s="9">
        <v>126274</v>
      </c>
      <c r="H178" s="14">
        <v>83.68</v>
      </c>
      <c r="I178">
        <v>7250</v>
      </c>
      <c r="J178" s="1" t="s">
        <v>32</v>
      </c>
      <c r="K178" s="12">
        <f t="shared" si="3"/>
        <v>249141.68</v>
      </c>
    </row>
    <row r="179" spans="1:11" ht="18.75" x14ac:dyDescent="0.3">
      <c r="A179" s="1" t="s">
        <v>777</v>
      </c>
      <c r="B179" s="2" t="s">
        <v>778</v>
      </c>
      <c r="C179" s="1" t="s">
        <v>12</v>
      </c>
      <c r="D179" s="1" t="s">
        <v>27</v>
      </c>
      <c r="E179" s="1" t="s">
        <v>648</v>
      </c>
      <c r="F179" s="9">
        <v>57439</v>
      </c>
      <c r="G179" s="9">
        <v>69353</v>
      </c>
      <c r="H179" s="14">
        <v>88.08</v>
      </c>
      <c r="I179">
        <v>6617</v>
      </c>
      <c r="J179" s="1" t="s">
        <v>15</v>
      </c>
      <c r="K179" s="12">
        <f t="shared" si="3"/>
        <v>133497.08000000002</v>
      </c>
    </row>
    <row r="180" spans="1:11" ht="18.75" x14ac:dyDescent="0.3">
      <c r="A180" s="1" t="s">
        <v>779</v>
      </c>
      <c r="B180" s="2" t="s">
        <v>780</v>
      </c>
      <c r="C180" s="1" t="s">
        <v>18</v>
      </c>
      <c r="D180" s="1" t="s">
        <v>53</v>
      </c>
      <c r="E180" s="1" t="s">
        <v>781</v>
      </c>
      <c r="F180" s="9">
        <v>119076</v>
      </c>
      <c r="G180" s="9">
        <v>130525</v>
      </c>
      <c r="H180" s="14">
        <v>86.76</v>
      </c>
      <c r="I180">
        <v>3726</v>
      </c>
      <c r="J180" s="1" t="s">
        <v>32</v>
      </c>
      <c r="K180" s="12">
        <f t="shared" si="3"/>
        <v>253413.76000000001</v>
      </c>
    </row>
    <row r="181" spans="1:11" ht="18.75" x14ac:dyDescent="0.3">
      <c r="A181" s="1" t="s">
        <v>782</v>
      </c>
      <c r="B181" s="2" t="s">
        <v>783</v>
      </c>
      <c r="C181" s="1" t="s">
        <v>66</v>
      </c>
      <c r="D181" s="1" t="s">
        <v>43</v>
      </c>
      <c r="E181" s="1" t="s">
        <v>784</v>
      </c>
      <c r="F181" s="9">
        <v>100278</v>
      </c>
      <c r="G181" s="9">
        <v>111216</v>
      </c>
      <c r="H181" s="14">
        <v>87.21</v>
      </c>
      <c r="I181">
        <v>4474</v>
      </c>
      <c r="J181" s="1" t="s">
        <v>32</v>
      </c>
      <c r="K181" s="12">
        <f t="shared" si="3"/>
        <v>216055.21</v>
      </c>
    </row>
    <row r="182" spans="1:11" ht="18.75" x14ac:dyDescent="0.3">
      <c r="A182" s="1" t="s">
        <v>98</v>
      </c>
      <c r="B182" s="2" t="s">
        <v>99</v>
      </c>
      <c r="C182" s="1" t="s">
        <v>12</v>
      </c>
      <c r="D182" s="1" t="s">
        <v>43</v>
      </c>
      <c r="E182" s="1" t="s">
        <v>100</v>
      </c>
      <c r="F182" s="9">
        <v>112128</v>
      </c>
      <c r="G182" s="9">
        <v>117736</v>
      </c>
      <c r="H182" s="14">
        <v>82.13</v>
      </c>
      <c r="I182">
        <v>7798</v>
      </c>
      <c r="J182" s="1" t="s">
        <v>15</v>
      </c>
      <c r="K182" s="12">
        <f t="shared" si="3"/>
        <v>237744.13</v>
      </c>
    </row>
    <row r="183" spans="1:11" ht="18.75" x14ac:dyDescent="0.3">
      <c r="A183" s="1" t="s">
        <v>785</v>
      </c>
      <c r="B183" s="2" t="s">
        <v>786</v>
      </c>
      <c r="C183" s="1" t="s">
        <v>39</v>
      </c>
      <c r="D183" s="1" t="s">
        <v>53</v>
      </c>
      <c r="E183" s="1" t="s">
        <v>787</v>
      </c>
      <c r="F183" s="9">
        <v>73985</v>
      </c>
      <c r="G183" s="9">
        <v>83415</v>
      </c>
      <c r="H183" s="14">
        <v>83.31</v>
      </c>
      <c r="I183">
        <v>2490</v>
      </c>
      <c r="J183" s="1" t="s">
        <v>36</v>
      </c>
      <c r="K183" s="12">
        <f t="shared" si="3"/>
        <v>159973.31</v>
      </c>
    </row>
    <row r="184" spans="1:11" ht="18.75" x14ac:dyDescent="0.3">
      <c r="A184" s="1" t="s">
        <v>788</v>
      </c>
      <c r="B184" s="2" t="s">
        <v>789</v>
      </c>
      <c r="C184" s="1" t="s">
        <v>26</v>
      </c>
      <c r="D184" s="1" t="s">
        <v>22</v>
      </c>
      <c r="E184" s="1" t="s">
        <v>790</v>
      </c>
      <c r="F184" s="9">
        <v>95875</v>
      </c>
      <c r="G184" s="9">
        <v>101217</v>
      </c>
      <c r="H184" s="14">
        <v>88.12</v>
      </c>
      <c r="I184">
        <v>3176</v>
      </c>
      <c r="J184" s="1" t="s">
        <v>32</v>
      </c>
      <c r="K184" s="12">
        <f t="shared" si="3"/>
        <v>200356.12</v>
      </c>
    </row>
    <row r="185" spans="1:11" ht="18.75" x14ac:dyDescent="0.3">
      <c r="A185" s="1" t="s">
        <v>791</v>
      </c>
      <c r="B185" s="2" t="s">
        <v>792</v>
      </c>
      <c r="C185" s="1" t="s">
        <v>18</v>
      </c>
      <c r="D185" s="1" t="s">
        <v>27</v>
      </c>
      <c r="E185" s="1" t="s">
        <v>793</v>
      </c>
      <c r="F185" s="9">
        <v>87260</v>
      </c>
      <c r="G185" s="9">
        <v>91402</v>
      </c>
      <c r="H185" s="14">
        <v>95.69</v>
      </c>
      <c r="I185">
        <v>6218</v>
      </c>
      <c r="J185" s="1" t="s">
        <v>907</v>
      </c>
      <c r="K185" s="12">
        <f t="shared" si="3"/>
        <v>184975.69</v>
      </c>
    </row>
    <row r="186" spans="1:11" ht="18.75" x14ac:dyDescent="0.3">
      <c r="A186" s="1" t="s">
        <v>794</v>
      </c>
      <c r="B186" s="2" t="s">
        <v>795</v>
      </c>
      <c r="C186" s="1" t="s">
        <v>39</v>
      </c>
      <c r="D186" s="1" t="s">
        <v>27</v>
      </c>
      <c r="E186" s="1" t="s">
        <v>796</v>
      </c>
      <c r="F186" s="9">
        <v>96141</v>
      </c>
      <c r="G186" s="9">
        <v>100148</v>
      </c>
      <c r="H186" s="14">
        <v>86.81</v>
      </c>
      <c r="I186">
        <v>4030</v>
      </c>
      <c r="J186" s="1" t="s">
        <v>15</v>
      </c>
      <c r="K186" s="12">
        <f t="shared" si="3"/>
        <v>200405.81</v>
      </c>
    </row>
    <row r="187" spans="1:11" ht="18.75" x14ac:dyDescent="0.3">
      <c r="A187" s="1" t="s">
        <v>797</v>
      </c>
      <c r="B187" s="2" t="s">
        <v>798</v>
      </c>
      <c r="C187" s="1" t="s">
        <v>26</v>
      </c>
      <c r="D187" s="1" t="s">
        <v>13</v>
      </c>
      <c r="E187" s="1" t="s">
        <v>799</v>
      </c>
      <c r="F187" s="9">
        <v>85351</v>
      </c>
      <c r="G187" s="9">
        <v>94201</v>
      </c>
      <c r="H187" s="14">
        <v>86.47</v>
      </c>
      <c r="I187">
        <v>3308</v>
      </c>
      <c r="J187" s="1" t="s">
        <v>32</v>
      </c>
      <c r="K187" s="12">
        <f t="shared" si="3"/>
        <v>182946.47</v>
      </c>
    </row>
    <row r="188" spans="1:11" ht="18.75" x14ac:dyDescent="0.3">
      <c r="A188" s="1" t="s">
        <v>800</v>
      </c>
      <c r="B188" s="2" t="s">
        <v>801</v>
      </c>
      <c r="C188" s="1" t="s">
        <v>66</v>
      </c>
      <c r="D188" s="1" t="s">
        <v>53</v>
      </c>
      <c r="E188" s="1" t="s">
        <v>802</v>
      </c>
      <c r="F188" s="9">
        <v>59881</v>
      </c>
      <c r="G188" s="9">
        <v>64491</v>
      </c>
      <c r="H188" s="14">
        <v>90.97</v>
      </c>
      <c r="I188">
        <v>6216</v>
      </c>
      <c r="J188" s="1" t="s">
        <v>36</v>
      </c>
      <c r="K188" s="12">
        <f t="shared" si="3"/>
        <v>130678.97</v>
      </c>
    </row>
    <row r="189" spans="1:11" ht="18.75" x14ac:dyDescent="0.3">
      <c r="A189" s="1" t="s">
        <v>803</v>
      </c>
      <c r="B189" s="2" t="s">
        <v>804</v>
      </c>
      <c r="C189" s="1" t="s">
        <v>66</v>
      </c>
      <c r="D189" s="1" t="s">
        <v>43</v>
      </c>
      <c r="E189" s="1" t="s">
        <v>579</v>
      </c>
      <c r="F189" s="9">
        <v>38037</v>
      </c>
      <c r="G189" s="9">
        <v>41512</v>
      </c>
      <c r="H189" s="14">
        <v>99.01</v>
      </c>
      <c r="I189">
        <v>6140</v>
      </c>
      <c r="J189" s="1" t="s">
        <v>15</v>
      </c>
      <c r="K189" s="12">
        <f t="shared" si="3"/>
        <v>85788.01</v>
      </c>
    </row>
    <row r="190" spans="1:11" ht="18.75" x14ac:dyDescent="0.3">
      <c r="A190" s="1" t="s">
        <v>805</v>
      </c>
      <c r="B190" s="2" t="s">
        <v>806</v>
      </c>
      <c r="C190" s="1" t="s">
        <v>18</v>
      </c>
      <c r="D190" s="1" t="s">
        <v>53</v>
      </c>
      <c r="E190" s="1" t="s">
        <v>807</v>
      </c>
      <c r="F190" s="9">
        <v>81254</v>
      </c>
      <c r="G190" s="9">
        <v>84051</v>
      </c>
      <c r="H190" s="14">
        <v>82.91</v>
      </c>
      <c r="I190">
        <v>6054</v>
      </c>
      <c r="J190" s="1" t="s">
        <v>36</v>
      </c>
      <c r="K190" s="12">
        <f t="shared" si="3"/>
        <v>171441.91</v>
      </c>
    </row>
    <row r="191" spans="1:11" ht="18.75" x14ac:dyDescent="0.3">
      <c r="A191" s="1" t="s">
        <v>808</v>
      </c>
      <c r="B191" s="2" t="s">
        <v>809</v>
      </c>
      <c r="C191" s="1" t="s">
        <v>26</v>
      </c>
      <c r="D191" s="1" t="s">
        <v>53</v>
      </c>
      <c r="E191" s="1" t="s">
        <v>810</v>
      </c>
      <c r="F191" s="9">
        <v>36071</v>
      </c>
      <c r="G191" s="9">
        <v>39832</v>
      </c>
      <c r="H191" s="14">
        <v>89.76</v>
      </c>
      <c r="I191">
        <v>4166</v>
      </c>
      <c r="J191" s="1" t="s">
        <v>36</v>
      </c>
      <c r="K191" s="12">
        <f t="shared" si="3"/>
        <v>80158.759999999995</v>
      </c>
    </row>
    <row r="192" spans="1:11" ht="18.75" x14ac:dyDescent="0.3">
      <c r="A192" s="1" t="s">
        <v>811</v>
      </c>
      <c r="B192" s="2" t="s">
        <v>812</v>
      </c>
      <c r="C192" s="1" t="s">
        <v>26</v>
      </c>
      <c r="D192" s="1" t="s">
        <v>13</v>
      </c>
      <c r="E192" s="1" t="s">
        <v>813</v>
      </c>
      <c r="F192" s="9">
        <v>87505</v>
      </c>
      <c r="G192" s="9">
        <v>90343</v>
      </c>
      <c r="H192" s="14">
        <v>92.27</v>
      </c>
      <c r="I192">
        <v>3594</v>
      </c>
      <c r="J192" s="1" t="s">
        <v>36</v>
      </c>
      <c r="K192" s="12">
        <f t="shared" si="3"/>
        <v>181534.27</v>
      </c>
    </row>
    <row r="193" spans="1:11" ht="18.75" x14ac:dyDescent="0.3">
      <c r="A193" s="1" t="s">
        <v>101</v>
      </c>
      <c r="B193" s="2" t="s">
        <v>102</v>
      </c>
      <c r="C193" s="1" t="s">
        <v>66</v>
      </c>
      <c r="D193" s="1" t="s">
        <v>43</v>
      </c>
      <c r="E193" s="1" t="s">
        <v>103</v>
      </c>
      <c r="F193" s="9">
        <v>78309</v>
      </c>
      <c r="G193" s="9">
        <v>81469</v>
      </c>
      <c r="H193" s="14">
        <v>91.25</v>
      </c>
      <c r="I193">
        <v>4281</v>
      </c>
      <c r="J193" s="1" t="s">
        <v>32</v>
      </c>
      <c r="K193" s="12">
        <f t="shared" si="3"/>
        <v>164150.25</v>
      </c>
    </row>
    <row r="194" spans="1:11" ht="18.75" x14ac:dyDescent="0.3">
      <c r="A194" s="1" t="s">
        <v>814</v>
      </c>
      <c r="B194" s="2" t="s">
        <v>815</v>
      </c>
      <c r="C194" s="1" t="s">
        <v>26</v>
      </c>
      <c r="D194" s="1" t="s">
        <v>13</v>
      </c>
      <c r="E194" s="1" t="s">
        <v>816</v>
      </c>
      <c r="F194" s="9">
        <v>85639</v>
      </c>
      <c r="G194" s="9">
        <v>95900</v>
      </c>
      <c r="H194" s="14">
        <v>90.11</v>
      </c>
      <c r="I194">
        <v>6504</v>
      </c>
      <c r="J194" s="1" t="s">
        <v>32</v>
      </c>
      <c r="K194" s="12">
        <f t="shared" si="3"/>
        <v>188133.11</v>
      </c>
    </row>
    <row r="195" spans="1:11" ht="18.75" x14ac:dyDescent="0.3">
      <c r="A195" s="1" t="s">
        <v>817</v>
      </c>
      <c r="B195" s="2" t="s">
        <v>818</v>
      </c>
      <c r="C195" s="1" t="s">
        <v>26</v>
      </c>
      <c r="D195" s="1" t="s">
        <v>13</v>
      </c>
      <c r="E195" s="1" t="s">
        <v>819</v>
      </c>
      <c r="F195" s="9">
        <v>51864</v>
      </c>
      <c r="G195" s="9">
        <v>55448</v>
      </c>
      <c r="H195" s="14">
        <v>89.09</v>
      </c>
      <c r="I195">
        <v>8511</v>
      </c>
      <c r="J195" s="1" t="s">
        <v>36</v>
      </c>
      <c r="K195" s="12">
        <f t="shared" si="3"/>
        <v>115912.09</v>
      </c>
    </row>
    <row r="196" spans="1:11" ht="18.75" x14ac:dyDescent="0.3">
      <c r="A196" s="1" t="s">
        <v>820</v>
      </c>
      <c r="B196" s="2" t="s">
        <v>821</v>
      </c>
      <c r="C196" s="1" t="s">
        <v>12</v>
      </c>
      <c r="D196" s="1" t="s">
        <v>27</v>
      </c>
      <c r="E196" s="1" t="s">
        <v>822</v>
      </c>
      <c r="F196" s="9">
        <v>61090</v>
      </c>
      <c r="G196" s="9">
        <v>72960</v>
      </c>
      <c r="H196" s="14">
        <v>91.16</v>
      </c>
      <c r="I196">
        <v>6096</v>
      </c>
      <c r="J196" s="1" t="s">
        <v>15</v>
      </c>
      <c r="K196" s="12">
        <f t="shared" si="3"/>
        <v>140237.16</v>
      </c>
    </row>
    <row r="197" spans="1:11" ht="18.75" x14ac:dyDescent="0.3">
      <c r="A197" s="1" t="s">
        <v>823</v>
      </c>
      <c r="B197" s="2" t="s">
        <v>824</v>
      </c>
      <c r="C197" s="1" t="s">
        <v>18</v>
      </c>
      <c r="D197" s="1" t="s">
        <v>13</v>
      </c>
      <c r="E197" s="1" t="s">
        <v>825</v>
      </c>
      <c r="F197" s="9">
        <v>78652</v>
      </c>
      <c r="G197" s="9">
        <v>88413</v>
      </c>
      <c r="H197" s="14">
        <v>91.35</v>
      </c>
      <c r="I197">
        <v>3220</v>
      </c>
      <c r="J197" s="1" t="s">
        <v>15</v>
      </c>
      <c r="K197" s="12">
        <f t="shared" si="3"/>
        <v>170376.35</v>
      </c>
    </row>
    <row r="198" spans="1:11" ht="18.75" x14ac:dyDescent="0.3">
      <c r="A198" s="1" t="s">
        <v>826</v>
      </c>
      <c r="B198" s="2" t="s">
        <v>827</v>
      </c>
      <c r="C198" s="1" t="s">
        <v>26</v>
      </c>
      <c r="D198" s="1" t="s">
        <v>13</v>
      </c>
      <c r="E198" s="1" t="s">
        <v>828</v>
      </c>
      <c r="F198" s="9">
        <v>115356</v>
      </c>
      <c r="G198" s="9">
        <v>122574</v>
      </c>
      <c r="H198" s="14">
        <v>84.93</v>
      </c>
      <c r="I198">
        <v>7050</v>
      </c>
      <c r="J198" s="1" t="s">
        <v>36</v>
      </c>
      <c r="K198" s="12">
        <f t="shared" si="3"/>
        <v>245064.93</v>
      </c>
    </row>
    <row r="199" spans="1:11" ht="18.75" x14ac:dyDescent="0.3">
      <c r="A199" s="1" t="s">
        <v>829</v>
      </c>
      <c r="B199" s="2" t="s">
        <v>830</v>
      </c>
      <c r="C199" s="1" t="s">
        <v>26</v>
      </c>
      <c r="D199" s="1" t="s">
        <v>53</v>
      </c>
      <c r="E199" s="1" t="s">
        <v>831</v>
      </c>
      <c r="F199" s="9">
        <v>101809</v>
      </c>
      <c r="G199" s="9">
        <v>112530</v>
      </c>
      <c r="H199" s="14">
        <v>90.82</v>
      </c>
      <c r="I199">
        <v>6611</v>
      </c>
      <c r="J199" s="1" t="s">
        <v>15</v>
      </c>
      <c r="K199" s="12">
        <f t="shared" si="3"/>
        <v>221040.82</v>
      </c>
    </row>
    <row r="200" spans="1:11" ht="18.75" x14ac:dyDescent="0.3">
      <c r="A200" s="1" t="s">
        <v>832</v>
      </c>
      <c r="B200" s="2" t="s">
        <v>833</v>
      </c>
      <c r="C200" s="1" t="s">
        <v>26</v>
      </c>
      <c r="D200" s="1" t="s">
        <v>27</v>
      </c>
      <c r="E200" s="1" t="s">
        <v>834</v>
      </c>
      <c r="F200" s="9">
        <v>78416</v>
      </c>
      <c r="G200" s="9">
        <v>82211</v>
      </c>
      <c r="H200" s="14">
        <v>99.64</v>
      </c>
      <c r="I200">
        <v>6781</v>
      </c>
      <c r="J200" s="1" t="s">
        <v>32</v>
      </c>
      <c r="K200" s="12">
        <f t="shared" si="3"/>
        <v>167507.64000000001</v>
      </c>
    </row>
    <row r="201" spans="1:11" ht="18.75" x14ac:dyDescent="0.3">
      <c r="A201" s="1" t="s">
        <v>835</v>
      </c>
      <c r="B201" s="2" t="s">
        <v>836</v>
      </c>
      <c r="C201" s="1" t="s">
        <v>12</v>
      </c>
      <c r="D201" s="1" t="s">
        <v>13</v>
      </c>
      <c r="E201" s="1" t="s">
        <v>837</v>
      </c>
      <c r="F201" s="9">
        <v>69803</v>
      </c>
      <c r="G201" s="9">
        <v>81280</v>
      </c>
      <c r="H201" s="14">
        <v>92.4</v>
      </c>
      <c r="I201">
        <v>7909</v>
      </c>
      <c r="J201" s="1" t="s">
        <v>36</v>
      </c>
      <c r="K201" s="12">
        <f t="shared" si="3"/>
        <v>159084.4</v>
      </c>
    </row>
    <row r="202" spans="1:11" ht="18.75" x14ac:dyDescent="0.3">
      <c r="A202" s="1" t="s">
        <v>838</v>
      </c>
      <c r="B202" s="2" t="s">
        <v>839</v>
      </c>
      <c r="C202" s="1" t="s">
        <v>39</v>
      </c>
      <c r="D202" s="1" t="s">
        <v>27</v>
      </c>
      <c r="E202" s="1" t="s">
        <v>840</v>
      </c>
      <c r="F202" s="9">
        <v>103712</v>
      </c>
      <c r="G202" s="9">
        <v>111941</v>
      </c>
      <c r="H202" s="14">
        <v>84.66</v>
      </c>
      <c r="I202">
        <v>7576</v>
      </c>
      <c r="J202" s="1" t="s">
        <v>32</v>
      </c>
      <c r="K202" s="12">
        <f t="shared" si="3"/>
        <v>223313.66</v>
      </c>
    </row>
    <row r="203" spans="1:11" ht="18.75" x14ac:dyDescent="0.3">
      <c r="A203" s="1" t="s">
        <v>841</v>
      </c>
      <c r="B203" s="2" t="s">
        <v>842</v>
      </c>
      <c r="C203" s="1" t="s">
        <v>39</v>
      </c>
      <c r="D203" s="1" t="s">
        <v>53</v>
      </c>
      <c r="E203" s="1" t="s">
        <v>843</v>
      </c>
      <c r="F203" s="9">
        <v>60006</v>
      </c>
      <c r="G203" s="9">
        <v>62316</v>
      </c>
      <c r="H203" s="14">
        <v>89.94</v>
      </c>
      <c r="I203">
        <v>5430</v>
      </c>
      <c r="J203" s="1" t="s">
        <v>32</v>
      </c>
      <c r="K203" s="12">
        <f t="shared" si="3"/>
        <v>127841.94</v>
      </c>
    </row>
    <row r="204" spans="1:11" ht="18.75" x14ac:dyDescent="0.3">
      <c r="A204" s="1" t="s">
        <v>104</v>
      </c>
      <c r="B204" s="2" t="s">
        <v>105</v>
      </c>
      <c r="C204" s="1" t="s">
        <v>66</v>
      </c>
      <c r="D204" s="1" t="s">
        <v>53</v>
      </c>
      <c r="E204" s="1" t="s">
        <v>106</v>
      </c>
      <c r="F204" s="9">
        <v>109847</v>
      </c>
      <c r="G204" s="9">
        <v>121287</v>
      </c>
      <c r="H204" s="14">
        <v>90.51</v>
      </c>
      <c r="I204">
        <v>8427</v>
      </c>
      <c r="J204" s="1" t="s">
        <v>15</v>
      </c>
      <c r="K204" s="12">
        <f t="shared" si="3"/>
        <v>239651.51</v>
      </c>
    </row>
    <row r="205" spans="1:11" ht="18.75" x14ac:dyDescent="0.3">
      <c r="A205" s="1" t="s">
        <v>844</v>
      </c>
      <c r="B205" s="2" t="s">
        <v>845</v>
      </c>
      <c r="C205" s="1" t="s">
        <v>12</v>
      </c>
      <c r="D205" s="1" t="s">
        <v>43</v>
      </c>
      <c r="E205" s="1" t="s">
        <v>846</v>
      </c>
      <c r="F205" s="9">
        <v>88788</v>
      </c>
      <c r="G205" s="9">
        <v>99009</v>
      </c>
      <c r="H205" s="14">
        <v>95.95</v>
      </c>
      <c r="I205">
        <v>5863</v>
      </c>
      <c r="J205" s="1" t="s">
        <v>32</v>
      </c>
      <c r="K205" s="12">
        <f t="shared" si="3"/>
        <v>193755.95</v>
      </c>
    </row>
    <row r="206" spans="1:11" ht="18.75" x14ac:dyDescent="0.3">
      <c r="A206" s="1" t="s">
        <v>847</v>
      </c>
      <c r="B206" s="2" t="s">
        <v>848</v>
      </c>
      <c r="C206" s="1" t="s">
        <v>18</v>
      </c>
      <c r="D206" s="1" t="s">
        <v>53</v>
      </c>
      <c r="E206" s="1" t="s">
        <v>849</v>
      </c>
      <c r="F206" s="9">
        <v>108516</v>
      </c>
      <c r="G206" s="9">
        <v>115841</v>
      </c>
      <c r="H206" s="14">
        <v>99.97</v>
      </c>
      <c r="I206">
        <v>5918</v>
      </c>
      <c r="J206" s="1" t="s">
        <v>36</v>
      </c>
      <c r="K206" s="12">
        <f t="shared" si="3"/>
        <v>230374.97</v>
      </c>
    </row>
    <row r="207" spans="1:11" ht="18.75" x14ac:dyDescent="0.3">
      <c r="A207" s="1" t="s">
        <v>850</v>
      </c>
      <c r="B207" s="2" t="s">
        <v>851</v>
      </c>
      <c r="C207" s="1" t="s">
        <v>26</v>
      </c>
      <c r="D207" s="1" t="s">
        <v>13</v>
      </c>
      <c r="E207" s="1" t="s">
        <v>852</v>
      </c>
      <c r="F207" s="9">
        <v>95249</v>
      </c>
      <c r="G207" s="9">
        <v>105983</v>
      </c>
      <c r="H207" s="14">
        <v>88.16</v>
      </c>
      <c r="I207">
        <v>4902</v>
      </c>
      <c r="J207" s="1" t="s">
        <v>36</v>
      </c>
      <c r="K207" s="12">
        <f t="shared" si="3"/>
        <v>206222.16</v>
      </c>
    </row>
    <row r="208" spans="1:11" ht="18.75" x14ac:dyDescent="0.3">
      <c r="A208" s="1" t="s">
        <v>853</v>
      </c>
      <c r="B208" s="2" t="s">
        <v>854</v>
      </c>
      <c r="C208" s="1" t="s">
        <v>26</v>
      </c>
      <c r="D208" s="1" t="s">
        <v>22</v>
      </c>
      <c r="E208" s="1" t="s">
        <v>855</v>
      </c>
      <c r="F208" s="9">
        <v>67311</v>
      </c>
      <c r="G208" s="9">
        <v>73882</v>
      </c>
      <c r="H208" s="14">
        <v>92.05</v>
      </c>
      <c r="I208">
        <v>3842</v>
      </c>
      <c r="J208" s="1" t="s">
        <v>32</v>
      </c>
      <c r="K208" s="12">
        <f t="shared" si="3"/>
        <v>145127.04999999999</v>
      </c>
    </row>
    <row r="209" spans="1:11" ht="18.75" x14ac:dyDescent="0.3">
      <c r="A209" s="1" t="s">
        <v>856</v>
      </c>
      <c r="B209" s="2" t="s">
        <v>857</v>
      </c>
      <c r="C209" s="1" t="s">
        <v>26</v>
      </c>
      <c r="D209" s="1" t="s">
        <v>22</v>
      </c>
      <c r="E209" s="1" t="s">
        <v>849</v>
      </c>
      <c r="F209" s="9">
        <v>99094</v>
      </c>
      <c r="G209" s="9">
        <v>106288</v>
      </c>
      <c r="H209" s="14">
        <v>90.64</v>
      </c>
      <c r="I209">
        <v>6591</v>
      </c>
      <c r="J209" s="1" t="s">
        <v>15</v>
      </c>
      <c r="K209" s="12">
        <f t="shared" si="3"/>
        <v>212063.64</v>
      </c>
    </row>
    <row r="210" spans="1:11" ht="18.75" x14ac:dyDescent="0.3">
      <c r="A210" s="1" t="s">
        <v>858</v>
      </c>
      <c r="B210" s="2" t="s">
        <v>859</v>
      </c>
      <c r="C210" s="1" t="s">
        <v>26</v>
      </c>
      <c r="D210" s="1" t="s">
        <v>43</v>
      </c>
      <c r="E210" s="1" t="s">
        <v>860</v>
      </c>
      <c r="F210" s="9">
        <v>106197</v>
      </c>
      <c r="G210" s="9">
        <v>114417</v>
      </c>
      <c r="H210" s="14">
        <v>98.12</v>
      </c>
      <c r="I210">
        <v>5232</v>
      </c>
      <c r="J210" s="1" t="s">
        <v>36</v>
      </c>
      <c r="K210" s="12">
        <f t="shared" si="3"/>
        <v>225944.12</v>
      </c>
    </row>
    <row r="211" spans="1:11" ht="18.75" x14ac:dyDescent="0.3">
      <c r="A211" s="1" t="s">
        <v>861</v>
      </c>
      <c r="B211" s="2" t="s">
        <v>862</v>
      </c>
      <c r="C211" s="1" t="s">
        <v>26</v>
      </c>
      <c r="D211" s="1" t="s">
        <v>53</v>
      </c>
      <c r="E211" s="1" t="s">
        <v>863</v>
      </c>
      <c r="F211" s="9">
        <v>72700</v>
      </c>
      <c r="G211" s="9">
        <v>75994</v>
      </c>
      <c r="H211" s="14">
        <v>88.23</v>
      </c>
      <c r="I211">
        <v>5623</v>
      </c>
      <c r="J211" s="1" t="s">
        <v>15</v>
      </c>
      <c r="K211" s="12">
        <f t="shared" si="3"/>
        <v>154405.23000000001</v>
      </c>
    </row>
    <row r="212" spans="1:11" ht="18.75" x14ac:dyDescent="0.3">
      <c r="A212" s="1" t="s">
        <v>864</v>
      </c>
      <c r="B212" s="2" t="s">
        <v>865</v>
      </c>
      <c r="C212" s="1" t="s">
        <v>26</v>
      </c>
      <c r="D212" s="1" t="s">
        <v>43</v>
      </c>
      <c r="E212" s="1" t="s">
        <v>866</v>
      </c>
      <c r="F212" s="9">
        <v>105592</v>
      </c>
      <c r="G212" s="9">
        <v>112034</v>
      </c>
      <c r="H212" s="14">
        <v>98.79</v>
      </c>
      <c r="I212">
        <v>7703</v>
      </c>
      <c r="J212" s="1" t="s">
        <v>15</v>
      </c>
      <c r="K212" s="12">
        <f t="shared" si="3"/>
        <v>225427.79</v>
      </c>
    </row>
    <row r="213" spans="1:11" ht="18.75" x14ac:dyDescent="0.3">
      <c r="A213" s="1" t="s">
        <v>867</v>
      </c>
      <c r="B213" s="2" t="s">
        <v>868</v>
      </c>
      <c r="C213" s="1" t="s">
        <v>39</v>
      </c>
      <c r="D213" s="1" t="s">
        <v>43</v>
      </c>
      <c r="E213" s="1" t="s">
        <v>869</v>
      </c>
      <c r="F213" s="9">
        <v>66779</v>
      </c>
      <c r="G213" s="9">
        <v>69610</v>
      </c>
      <c r="H213" s="14">
        <v>94.06</v>
      </c>
      <c r="I213">
        <v>6350</v>
      </c>
      <c r="J213" s="1" t="s">
        <v>15</v>
      </c>
      <c r="K213" s="12">
        <f t="shared" si="3"/>
        <v>142833.06</v>
      </c>
    </row>
    <row r="214" spans="1:11" ht="18.75" x14ac:dyDescent="0.3">
      <c r="A214" s="1" t="s">
        <v>870</v>
      </c>
      <c r="B214" s="2" t="s">
        <v>871</v>
      </c>
      <c r="C214" s="1" t="s">
        <v>39</v>
      </c>
      <c r="D214" s="1" t="s">
        <v>27</v>
      </c>
      <c r="E214" s="1" t="s">
        <v>872</v>
      </c>
      <c r="F214" s="9">
        <v>89172</v>
      </c>
      <c r="G214" s="9">
        <v>96583</v>
      </c>
      <c r="H214" s="14">
        <v>94.91</v>
      </c>
      <c r="I214">
        <v>2823</v>
      </c>
      <c r="J214" s="1" t="s">
        <v>32</v>
      </c>
      <c r="K214" s="12">
        <f t="shared" si="3"/>
        <v>188672.91</v>
      </c>
    </row>
    <row r="215" spans="1:11" ht="18.75" x14ac:dyDescent="0.3">
      <c r="A215" s="1" t="s">
        <v>107</v>
      </c>
      <c r="B215" s="2" t="s">
        <v>108</v>
      </c>
      <c r="C215" s="1" t="s">
        <v>66</v>
      </c>
      <c r="D215" s="1" t="s">
        <v>27</v>
      </c>
      <c r="E215" s="1" t="s">
        <v>109</v>
      </c>
      <c r="F215" s="9">
        <v>47704</v>
      </c>
      <c r="G215" s="9">
        <v>56766</v>
      </c>
      <c r="H215" s="14">
        <v>88.38</v>
      </c>
      <c r="I215">
        <v>5367</v>
      </c>
      <c r="J215" s="1" t="s">
        <v>32</v>
      </c>
      <c r="K215" s="12">
        <f t="shared" si="3"/>
        <v>109925.38</v>
      </c>
    </row>
    <row r="216" spans="1:11" ht="18.75" x14ac:dyDescent="0.3">
      <c r="A216" s="1" t="s">
        <v>873</v>
      </c>
      <c r="B216" s="2" t="s">
        <v>874</v>
      </c>
      <c r="C216" s="1" t="s">
        <v>26</v>
      </c>
      <c r="D216" s="1" t="s">
        <v>22</v>
      </c>
      <c r="E216" s="1" t="s">
        <v>875</v>
      </c>
      <c r="F216" s="9">
        <v>88334</v>
      </c>
      <c r="G216" s="9">
        <v>98127</v>
      </c>
      <c r="H216" s="14">
        <v>90.59</v>
      </c>
      <c r="I216">
        <v>3633</v>
      </c>
      <c r="J216" s="1" t="s">
        <v>36</v>
      </c>
      <c r="K216" s="12">
        <f t="shared" si="3"/>
        <v>190184.59</v>
      </c>
    </row>
    <row r="217" spans="1:11" ht="18.75" x14ac:dyDescent="0.3">
      <c r="A217" s="1" t="s">
        <v>876</v>
      </c>
      <c r="B217" s="2" t="s">
        <v>877</v>
      </c>
      <c r="C217" s="1" t="s">
        <v>12</v>
      </c>
      <c r="D217" s="1" t="s">
        <v>43</v>
      </c>
      <c r="E217" s="1" t="s">
        <v>878</v>
      </c>
      <c r="F217" s="9">
        <v>46725</v>
      </c>
      <c r="G217" s="9">
        <v>58131</v>
      </c>
      <c r="H217" s="14">
        <v>86.18</v>
      </c>
      <c r="I217">
        <v>8051</v>
      </c>
      <c r="J217" s="1" t="s">
        <v>36</v>
      </c>
      <c r="K217" s="12">
        <f t="shared" ref="K217:K265" si="4">SUM(F217:J217)</f>
        <v>112993.18</v>
      </c>
    </row>
    <row r="218" spans="1:11" ht="18.75" x14ac:dyDescent="0.3">
      <c r="A218" s="1" t="s">
        <v>879</v>
      </c>
      <c r="B218" s="2" t="s">
        <v>880</v>
      </c>
      <c r="C218" s="1" t="s">
        <v>26</v>
      </c>
      <c r="D218" s="1" t="s">
        <v>27</v>
      </c>
      <c r="E218" s="1" t="s">
        <v>228</v>
      </c>
      <c r="F218" s="9">
        <v>39763</v>
      </c>
      <c r="G218" s="9">
        <v>48267</v>
      </c>
      <c r="H218" s="14">
        <v>96.18</v>
      </c>
      <c r="I218">
        <v>3526</v>
      </c>
      <c r="J218" s="1" t="s">
        <v>15</v>
      </c>
      <c r="K218" s="12">
        <f t="shared" si="4"/>
        <v>91652.18</v>
      </c>
    </row>
    <row r="219" spans="1:11" ht="18.75" x14ac:dyDescent="0.3">
      <c r="A219" s="1" t="s">
        <v>881</v>
      </c>
      <c r="B219" s="2" t="s">
        <v>882</v>
      </c>
      <c r="C219" s="1" t="s">
        <v>26</v>
      </c>
      <c r="D219" s="1" t="s">
        <v>53</v>
      </c>
      <c r="E219" s="1" t="s">
        <v>883</v>
      </c>
      <c r="F219" s="9">
        <v>109443</v>
      </c>
      <c r="G219" s="9">
        <v>121318</v>
      </c>
      <c r="H219" s="14">
        <v>83.93</v>
      </c>
      <c r="I219">
        <v>4744</v>
      </c>
      <c r="J219" s="1" t="s">
        <v>32</v>
      </c>
      <c r="K219" s="12">
        <f t="shared" si="4"/>
        <v>235588.93</v>
      </c>
    </row>
    <row r="220" spans="1:11" ht="18.75" x14ac:dyDescent="0.3">
      <c r="A220" s="1" t="s">
        <v>884</v>
      </c>
      <c r="B220" s="2" t="s">
        <v>885</v>
      </c>
      <c r="C220" s="1" t="s">
        <v>18</v>
      </c>
      <c r="D220" s="1" t="s">
        <v>53</v>
      </c>
      <c r="E220" s="1" t="s">
        <v>886</v>
      </c>
      <c r="F220" s="9">
        <v>103723</v>
      </c>
      <c r="G220" s="9">
        <v>113815</v>
      </c>
      <c r="H220" s="14">
        <v>98.01</v>
      </c>
      <c r="I220">
        <v>3099</v>
      </c>
      <c r="J220" s="1" t="s">
        <v>36</v>
      </c>
      <c r="K220" s="12">
        <f t="shared" si="4"/>
        <v>220735.01</v>
      </c>
    </row>
    <row r="221" spans="1:11" ht="18.75" x14ac:dyDescent="0.3">
      <c r="A221" s="1" t="s">
        <v>887</v>
      </c>
      <c r="B221" s="2" t="s">
        <v>888</v>
      </c>
      <c r="C221" s="1" t="s">
        <v>26</v>
      </c>
      <c r="D221" s="1" t="s">
        <v>43</v>
      </c>
      <c r="E221" s="1" t="s">
        <v>889</v>
      </c>
      <c r="F221" s="9">
        <v>49764</v>
      </c>
      <c r="G221" s="9">
        <v>57181</v>
      </c>
      <c r="H221" s="14">
        <v>84.92</v>
      </c>
      <c r="I221">
        <v>5759</v>
      </c>
      <c r="J221" s="1" t="s">
        <v>15</v>
      </c>
      <c r="K221" s="12">
        <f t="shared" si="4"/>
        <v>112788.92</v>
      </c>
    </row>
    <row r="222" spans="1:11" ht="18.75" x14ac:dyDescent="0.3">
      <c r="A222" s="1" t="s">
        <v>890</v>
      </c>
      <c r="B222" s="2" t="s">
        <v>891</v>
      </c>
      <c r="C222" s="1" t="s">
        <v>39</v>
      </c>
      <c r="D222" s="1" t="s">
        <v>13</v>
      </c>
      <c r="E222" s="1" t="s">
        <v>892</v>
      </c>
      <c r="F222" s="9">
        <v>73669</v>
      </c>
      <c r="G222" s="9">
        <v>84971</v>
      </c>
      <c r="H222" s="14">
        <v>94.14</v>
      </c>
      <c r="I222">
        <v>3582</v>
      </c>
      <c r="J222" s="1" t="s">
        <v>32</v>
      </c>
      <c r="K222" s="12">
        <f t="shared" si="4"/>
        <v>162316.14000000001</v>
      </c>
    </row>
    <row r="223" spans="1:11" ht="18.75" x14ac:dyDescent="0.3">
      <c r="A223" s="1" t="s">
        <v>893</v>
      </c>
      <c r="B223" s="2" t="s">
        <v>894</v>
      </c>
      <c r="C223" s="1" t="s">
        <v>12</v>
      </c>
      <c r="D223" s="1" t="s">
        <v>43</v>
      </c>
      <c r="E223" s="1" t="s">
        <v>895</v>
      </c>
      <c r="F223" s="9">
        <v>91059</v>
      </c>
      <c r="G223" s="9">
        <v>101501</v>
      </c>
      <c r="H223" s="14">
        <v>87.9</v>
      </c>
      <c r="I223">
        <v>5283</v>
      </c>
      <c r="J223" s="1" t="s">
        <v>15</v>
      </c>
      <c r="K223" s="12">
        <f t="shared" si="4"/>
        <v>197930.9</v>
      </c>
    </row>
    <row r="224" spans="1:11" ht="18.75" x14ac:dyDescent="0.3">
      <c r="A224" s="1" t="s">
        <v>896</v>
      </c>
      <c r="B224" s="2" t="s">
        <v>897</v>
      </c>
      <c r="C224" s="1" t="s">
        <v>39</v>
      </c>
      <c r="D224" s="1" t="s">
        <v>53</v>
      </c>
      <c r="E224" s="1" t="s">
        <v>898</v>
      </c>
      <c r="F224" s="9">
        <v>77415</v>
      </c>
      <c r="G224" s="9">
        <v>83479</v>
      </c>
      <c r="H224" s="14">
        <v>82.12</v>
      </c>
      <c r="I224">
        <v>5142</v>
      </c>
      <c r="J224" s="1" t="s">
        <v>36</v>
      </c>
      <c r="K224" s="12">
        <f t="shared" si="4"/>
        <v>166118.12</v>
      </c>
    </row>
    <row r="225" spans="1:11" ht="18.75" x14ac:dyDescent="0.3">
      <c r="A225" s="1" t="s">
        <v>899</v>
      </c>
      <c r="B225" s="2" t="s">
        <v>900</v>
      </c>
      <c r="C225" s="1" t="s">
        <v>26</v>
      </c>
      <c r="D225" s="1" t="s">
        <v>22</v>
      </c>
      <c r="E225" s="1" t="s">
        <v>901</v>
      </c>
      <c r="F225" s="9">
        <v>74576</v>
      </c>
      <c r="G225" s="9">
        <v>86119</v>
      </c>
      <c r="H225" s="14">
        <v>95.01</v>
      </c>
      <c r="I225">
        <v>2093</v>
      </c>
      <c r="J225" s="1" t="s">
        <v>32</v>
      </c>
      <c r="K225" s="12">
        <f t="shared" si="4"/>
        <v>162883.01</v>
      </c>
    </row>
    <row r="226" spans="1:11" ht="18.75" x14ac:dyDescent="0.3">
      <c r="A226" s="1" t="s">
        <v>20</v>
      </c>
      <c r="B226" s="2" t="s">
        <v>21</v>
      </c>
      <c r="C226" s="1" t="s">
        <v>18</v>
      </c>
      <c r="D226" s="1" t="s">
        <v>22</v>
      </c>
      <c r="E226" s="1" t="s">
        <v>23</v>
      </c>
      <c r="F226" s="9">
        <v>61062</v>
      </c>
      <c r="G226" s="9">
        <v>71990</v>
      </c>
      <c r="H226" s="14">
        <v>89.55</v>
      </c>
      <c r="I226">
        <v>5679</v>
      </c>
      <c r="J226" s="1" t="s">
        <v>15</v>
      </c>
      <c r="K226" s="12">
        <f t="shared" si="4"/>
        <v>138820.54999999999</v>
      </c>
    </row>
    <row r="227" spans="1:11" ht="18.75" x14ac:dyDescent="0.3">
      <c r="A227" s="1" t="s">
        <v>110</v>
      </c>
      <c r="B227" s="2" t="s">
        <v>111</v>
      </c>
      <c r="C227" s="1" t="s">
        <v>12</v>
      </c>
      <c r="D227" s="1" t="s">
        <v>43</v>
      </c>
      <c r="E227" s="1" t="s">
        <v>112</v>
      </c>
      <c r="F227" s="9">
        <v>42944</v>
      </c>
      <c r="G227" s="9">
        <v>51540</v>
      </c>
      <c r="H227" s="14">
        <v>95.11</v>
      </c>
      <c r="I227">
        <v>8558</v>
      </c>
      <c r="J227" s="1" t="s">
        <v>15</v>
      </c>
      <c r="K227" s="12">
        <f t="shared" si="4"/>
        <v>103137.11</v>
      </c>
    </row>
    <row r="228" spans="1:11" ht="18.75" x14ac:dyDescent="0.3">
      <c r="A228" s="1" t="s">
        <v>902</v>
      </c>
      <c r="B228" s="2" t="s">
        <v>903</v>
      </c>
      <c r="C228" s="1" t="s">
        <v>66</v>
      </c>
      <c r="D228" s="1" t="s">
        <v>13</v>
      </c>
      <c r="E228" s="1" t="s">
        <v>904</v>
      </c>
      <c r="F228" s="9">
        <v>43142</v>
      </c>
      <c r="G228" s="9">
        <v>47078</v>
      </c>
      <c r="H228" s="14">
        <v>90.38</v>
      </c>
      <c r="I228">
        <v>3308</v>
      </c>
      <c r="J228" s="1" t="s">
        <v>32</v>
      </c>
      <c r="K228" s="12">
        <f t="shared" si="4"/>
        <v>93618.38</v>
      </c>
    </row>
    <row r="229" spans="1:11" ht="18.75" x14ac:dyDescent="0.3">
      <c r="A229" s="1" t="s">
        <v>113</v>
      </c>
      <c r="B229" s="2" t="s">
        <v>114</v>
      </c>
      <c r="C229" s="1" t="s">
        <v>26</v>
      </c>
      <c r="D229" s="1" t="s">
        <v>53</v>
      </c>
      <c r="E229" s="1" t="s">
        <v>115</v>
      </c>
      <c r="F229" s="9">
        <v>105292</v>
      </c>
      <c r="G229" s="9">
        <v>114642</v>
      </c>
      <c r="H229" s="14">
        <v>84.52</v>
      </c>
      <c r="I229">
        <v>3503</v>
      </c>
      <c r="J229" s="1" t="s">
        <v>15</v>
      </c>
      <c r="K229" s="12">
        <f t="shared" si="4"/>
        <v>223521.52</v>
      </c>
    </row>
    <row r="230" spans="1:11" ht="18.75" x14ac:dyDescent="0.3">
      <c r="A230" s="1" t="s">
        <v>116</v>
      </c>
      <c r="B230" s="2" t="s">
        <v>117</v>
      </c>
      <c r="C230" s="1" t="s">
        <v>18</v>
      </c>
      <c r="D230" s="1" t="s">
        <v>27</v>
      </c>
      <c r="E230" s="1" t="s">
        <v>118</v>
      </c>
      <c r="F230" s="9">
        <v>93082</v>
      </c>
      <c r="G230" s="9">
        <v>104098</v>
      </c>
      <c r="H230" s="14">
        <v>83.76</v>
      </c>
      <c r="I230">
        <v>7342</v>
      </c>
      <c r="J230" s="1" t="s">
        <v>15</v>
      </c>
      <c r="K230" s="12">
        <f t="shared" si="4"/>
        <v>204605.76</v>
      </c>
    </row>
    <row r="231" spans="1:11" ht="18.75" x14ac:dyDescent="0.3">
      <c r="A231" s="1" t="s">
        <v>119</v>
      </c>
      <c r="B231" s="2" t="s">
        <v>120</v>
      </c>
      <c r="C231" s="1" t="s">
        <v>66</v>
      </c>
      <c r="D231" s="1" t="s">
        <v>27</v>
      </c>
      <c r="E231" s="1" t="s">
        <v>121</v>
      </c>
      <c r="F231" s="9">
        <v>56798</v>
      </c>
      <c r="G231" s="9">
        <v>65456</v>
      </c>
      <c r="H231" s="14">
        <v>90.74</v>
      </c>
      <c r="I231">
        <v>3751</v>
      </c>
      <c r="J231" s="1" t="s">
        <v>15</v>
      </c>
      <c r="K231" s="12">
        <f t="shared" si="4"/>
        <v>126095.74</v>
      </c>
    </row>
    <row r="232" spans="1:11" ht="18.75" x14ac:dyDescent="0.3">
      <c r="A232" s="1" t="s">
        <v>122</v>
      </c>
      <c r="B232" s="2" t="s">
        <v>123</v>
      </c>
      <c r="C232" s="1" t="s">
        <v>66</v>
      </c>
      <c r="D232" s="1" t="s">
        <v>22</v>
      </c>
      <c r="E232" s="1" t="s">
        <v>124</v>
      </c>
      <c r="F232" s="9">
        <v>35282</v>
      </c>
      <c r="G232" s="9">
        <v>43678</v>
      </c>
      <c r="H232" s="14">
        <v>86.77</v>
      </c>
      <c r="I232">
        <v>8423</v>
      </c>
      <c r="J232" s="1" t="s">
        <v>36</v>
      </c>
      <c r="K232" s="12">
        <f t="shared" si="4"/>
        <v>87469.77</v>
      </c>
    </row>
    <row r="233" spans="1:11" ht="18.75" x14ac:dyDescent="0.3">
      <c r="A233" s="1" t="s">
        <v>125</v>
      </c>
      <c r="B233" s="2" t="s">
        <v>126</v>
      </c>
      <c r="C233" s="1" t="s">
        <v>12</v>
      </c>
      <c r="D233" s="1" t="s">
        <v>13</v>
      </c>
      <c r="E233" s="1" t="s">
        <v>127</v>
      </c>
      <c r="F233" s="9">
        <v>98788</v>
      </c>
      <c r="G233" s="9">
        <v>103324</v>
      </c>
      <c r="H233" s="14">
        <v>85.42</v>
      </c>
      <c r="I233">
        <v>3783</v>
      </c>
      <c r="J233" s="1" t="s">
        <v>32</v>
      </c>
      <c r="K233" s="12">
        <f t="shared" si="4"/>
        <v>205980.42</v>
      </c>
    </row>
    <row r="234" spans="1:11" ht="18.75" x14ac:dyDescent="0.3">
      <c r="A234" s="1" t="s">
        <v>128</v>
      </c>
      <c r="B234" s="2" t="s">
        <v>129</v>
      </c>
      <c r="C234" s="1" t="s">
        <v>66</v>
      </c>
      <c r="D234" s="1" t="s">
        <v>13</v>
      </c>
      <c r="E234" s="1" t="s">
        <v>130</v>
      </c>
      <c r="F234" s="9">
        <v>42989</v>
      </c>
      <c r="G234" s="9">
        <v>50127</v>
      </c>
      <c r="H234" s="14">
        <v>83.03</v>
      </c>
      <c r="I234">
        <v>6785</v>
      </c>
      <c r="J234" s="1" t="s">
        <v>32</v>
      </c>
      <c r="K234" s="12">
        <f t="shared" si="4"/>
        <v>99984.03</v>
      </c>
    </row>
    <row r="235" spans="1:11" ht="18.75" x14ac:dyDescent="0.3">
      <c r="A235" s="1" t="s">
        <v>131</v>
      </c>
      <c r="B235" s="2" t="s">
        <v>132</v>
      </c>
      <c r="C235" s="1" t="s">
        <v>12</v>
      </c>
      <c r="D235" s="1" t="s">
        <v>13</v>
      </c>
      <c r="E235" s="1" t="s">
        <v>133</v>
      </c>
      <c r="F235" s="9">
        <v>42455</v>
      </c>
      <c r="G235" s="9">
        <v>52775</v>
      </c>
      <c r="H235" s="14">
        <v>83.44</v>
      </c>
      <c r="I235">
        <v>3522</v>
      </c>
      <c r="J235" s="1" t="s">
        <v>15</v>
      </c>
      <c r="K235" s="12">
        <f t="shared" si="4"/>
        <v>98835.44</v>
      </c>
    </row>
    <row r="236" spans="1:11" ht="18.75" x14ac:dyDescent="0.3">
      <c r="A236" s="1" t="s">
        <v>134</v>
      </c>
      <c r="B236" s="2" t="s">
        <v>135</v>
      </c>
      <c r="C236" s="1" t="s">
        <v>39</v>
      </c>
      <c r="D236" s="1" t="s">
        <v>13</v>
      </c>
      <c r="E236" s="1" t="s">
        <v>136</v>
      </c>
      <c r="F236" s="9">
        <v>87923</v>
      </c>
      <c r="G236" s="9">
        <v>91887</v>
      </c>
      <c r="H236" s="14">
        <v>98.95</v>
      </c>
      <c r="I236">
        <v>6666</v>
      </c>
      <c r="J236" s="1" t="s">
        <v>32</v>
      </c>
      <c r="K236" s="12">
        <f t="shared" si="4"/>
        <v>186574.95</v>
      </c>
    </row>
    <row r="237" spans="1:11" ht="18.75" x14ac:dyDescent="0.3">
      <c r="A237" s="1" t="s">
        <v>137</v>
      </c>
      <c r="B237" s="2" t="s">
        <v>138</v>
      </c>
      <c r="C237" s="1" t="s">
        <v>18</v>
      </c>
      <c r="D237" s="1" t="s">
        <v>13</v>
      </c>
      <c r="E237" s="1" t="s">
        <v>139</v>
      </c>
      <c r="F237" s="9">
        <v>116183</v>
      </c>
      <c r="G237" s="9">
        <v>119526</v>
      </c>
      <c r="H237" s="14">
        <v>89.55</v>
      </c>
      <c r="I237">
        <v>6781</v>
      </c>
      <c r="J237" s="1" t="s">
        <v>36</v>
      </c>
      <c r="K237" s="12">
        <f t="shared" si="4"/>
        <v>242579.55</v>
      </c>
    </row>
    <row r="238" spans="1:11" ht="18.75" x14ac:dyDescent="0.3">
      <c r="A238" s="1" t="s">
        <v>24</v>
      </c>
      <c r="B238" s="2" t="s">
        <v>25</v>
      </c>
      <c r="C238" s="1" t="s">
        <v>26</v>
      </c>
      <c r="D238" s="1" t="s">
        <v>27</v>
      </c>
      <c r="E238" s="1" t="s">
        <v>28</v>
      </c>
      <c r="F238" s="9">
        <v>90392</v>
      </c>
      <c r="G238" s="9">
        <v>97966</v>
      </c>
      <c r="H238" s="14">
        <v>87</v>
      </c>
      <c r="I238">
        <v>3763</v>
      </c>
      <c r="J238" s="1" t="s">
        <v>15</v>
      </c>
      <c r="K238" s="12">
        <f t="shared" si="4"/>
        <v>192208</v>
      </c>
    </row>
    <row r="239" spans="1:11" ht="18.75" x14ac:dyDescent="0.3">
      <c r="A239" s="1" t="s">
        <v>140</v>
      </c>
      <c r="B239" s="2" t="s">
        <v>141</v>
      </c>
      <c r="C239" s="1" t="s">
        <v>39</v>
      </c>
      <c r="D239" s="1" t="s">
        <v>22</v>
      </c>
      <c r="E239" s="1" t="s">
        <v>142</v>
      </c>
      <c r="F239" s="9">
        <v>61772</v>
      </c>
      <c r="G239" s="9">
        <v>68919</v>
      </c>
      <c r="H239" s="14">
        <v>86.3</v>
      </c>
      <c r="I239">
        <v>5242</v>
      </c>
      <c r="J239" s="1" t="s">
        <v>36</v>
      </c>
      <c r="K239" s="12">
        <f t="shared" si="4"/>
        <v>136019.29999999999</v>
      </c>
    </row>
    <row r="240" spans="1:11" ht="18.75" x14ac:dyDescent="0.3">
      <c r="A240" s="1" t="s">
        <v>143</v>
      </c>
      <c r="B240" s="2" t="s">
        <v>144</v>
      </c>
      <c r="C240" s="1" t="s">
        <v>12</v>
      </c>
      <c r="D240" s="1" t="s">
        <v>27</v>
      </c>
      <c r="E240" s="1" t="s">
        <v>145</v>
      </c>
      <c r="F240" s="9">
        <v>44508</v>
      </c>
      <c r="G240" s="9">
        <v>46660</v>
      </c>
      <c r="H240" s="14">
        <v>90.25</v>
      </c>
      <c r="I240">
        <v>6612</v>
      </c>
      <c r="J240" s="1" t="s">
        <v>32</v>
      </c>
      <c r="K240" s="12">
        <f t="shared" si="4"/>
        <v>97870.25</v>
      </c>
    </row>
    <row r="241" spans="1:11" ht="18.75" x14ac:dyDescent="0.3">
      <c r="A241" s="1" t="s">
        <v>146</v>
      </c>
      <c r="B241" s="2" t="s">
        <v>147</v>
      </c>
      <c r="C241" s="1" t="s">
        <v>12</v>
      </c>
      <c r="D241" s="1" t="s">
        <v>43</v>
      </c>
      <c r="E241" s="1" t="s">
        <v>148</v>
      </c>
      <c r="F241" s="9">
        <v>101307</v>
      </c>
      <c r="G241" s="9">
        <v>107652</v>
      </c>
      <c r="H241" s="14">
        <v>84.38</v>
      </c>
      <c r="I241">
        <v>4859</v>
      </c>
      <c r="J241" s="1" t="s">
        <v>36</v>
      </c>
      <c r="K241" s="12">
        <f t="shared" si="4"/>
        <v>213902.38</v>
      </c>
    </row>
    <row r="242" spans="1:11" ht="18.75" x14ac:dyDescent="0.3">
      <c r="A242" s="1" t="s">
        <v>149</v>
      </c>
      <c r="B242" s="2" t="s">
        <v>150</v>
      </c>
      <c r="C242" s="1" t="s">
        <v>26</v>
      </c>
      <c r="D242" s="1" t="s">
        <v>13</v>
      </c>
      <c r="E242" s="1" t="s">
        <v>151</v>
      </c>
      <c r="F242" s="9">
        <v>55676</v>
      </c>
      <c r="G242" s="9">
        <v>64855</v>
      </c>
      <c r="H242" s="14">
        <v>97.01</v>
      </c>
      <c r="I242">
        <v>7763</v>
      </c>
      <c r="J242" s="1" t="s">
        <v>32</v>
      </c>
      <c r="K242" s="12">
        <f t="shared" si="4"/>
        <v>128391.01</v>
      </c>
    </row>
    <row r="243" spans="1:11" ht="18.75" x14ac:dyDescent="0.3">
      <c r="A243" s="1" t="s">
        <v>152</v>
      </c>
      <c r="B243" s="2" t="s">
        <v>153</v>
      </c>
      <c r="C243" s="1" t="s">
        <v>12</v>
      </c>
      <c r="D243" s="1" t="s">
        <v>43</v>
      </c>
      <c r="E243" s="1" t="s">
        <v>154</v>
      </c>
      <c r="F243" s="9">
        <v>36025</v>
      </c>
      <c r="G243" s="9">
        <v>47111</v>
      </c>
      <c r="H243" s="14">
        <v>87.39</v>
      </c>
      <c r="I243">
        <v>7434</v>
      </c>
      <c r="J243" s="1" t="s">
        <v>36</v>
      </c>
      <c r="K243" s="12">
        <f t="shared" si="4"/>
        <v>90657.39</v>
      </c>
    </row>
    <row r="244" spans="1:11" ht="18.75" x14ac:dyDescent="0.3">
      <c r="A244" s="1" t="s">
        <v>155</v>
      </c>
      <c r="B244" s="2" t="s">
        <v>156</v>
      </c>
      <c r="C244" s="1" t="s">
        <v>18</v>
      </c>
      <c r="D244" s="1" t="s">
        <v>43</v>
      </c>
      <c r="E244" s="1" t="s">
        <v>157</v>
      </c>
      <c r="F244" s="9">
        <v>49029</v>
      </c>
      <c r="G244" s="9">
        <v>60093</v>
      </c>
      <c r="H244" s="14">
        <v>84.8</v>
      </c>
      <c r="I244">
        <v>4308</v>
      </c>
      <c r="J244" s="1" t="s">
        <v>32</v>
      </c>
      <c r="K244" s="12">
        <f t="shared" si="4"/>
        <v>113514.8</v>
      </c>
    </row>
    <row r="245" spans="1:11" ht="18.75" x14ac:dyDescent="0.3">
      <c r="A245" s="1" t="s">
        <v>158</v>
      </c>
      <c r="B245" s="2" t="s">
        <v>159</v>
      </c>
      <c r="C245" s="1" t="s">
        <v>12</v>
      </c>
      <c r="D245" s="1" t="s">
        <v>27</v>
      </c>
      <c r="E245" s="1" t="s">
        <v>160</v>
      </c>
      <c r="F245" s="9">
        <v>61685</v>
      </c>
      <c r="G245" s="9">
        <v>68010</v>
      </c>
      <c r="H245" s="14">
        <v>91.1</v>
      </c>
      <c r="I245">
        <v>4057</v>
      </c>
      <c r="J245" s="1" t="s">
        <v>32</v>
      </c>
      <c r="K245" s="12">
        <f t="shared" si="4"/>
        <v>133843.1</v>
      </c>
    </row>
    <row r="246" spans="1:11" ht="18.75" x14ac:dyDescent="0.3">
      <c r="A246" s="1" t="s">
        <v>161</v>
      </c>
      <c r="B246" s="2" t="s">
        <v>162</v>
      </c>
      <c r="C246" s="1" t="s">
        <v>39</v>
      </c>
      <c r="D246" s="1" t="s">
        <v>22</v>
      </c>
      <c r="E246" s="1" t="s">
        <v>163</v>
      </c>
      <c r="F246" s="9">
        <v>71265</v>
      </c>
      <c r="G246" s="9">
        <v>73987</v>
      </c>
      <c r="H246" s="14">
        <v>82.06</v>
      </c>
      <c r="I246">
        <v>8317</v>
      </c>
      <c r="J246" s="1" t="s">
        <v>15</v>
      </c>
      <c r="K246" s="12">
        <f t="shared" si="4"/>
        <v>153651.06</v>
      </c>
    </row>
    <row r="247" spans="1:11" ht="18.75" x14ac:dyDescent="0.3">
      <c r="A247" s="1" t="s">
        <v>164</v>
      </c>
      <c r="B247" s="2" t="s">
        <v>165</v>
      </c>
      <c r="C247" s="1" t="s">
        <v>12</v>
      </c>
      <c r="D247" s="1" t="s">
        <v>43</v>
      </c>
      <c r="E247" s="1" t="s">
        <v>166</v>
      </c>
      <c r="F247" s="9">
        <v>107309</v>
      </c>
      <c r="G247" s="9">
        <v>116316</v>
      </c>
      <c r="H247" s="14">
        <v>92.1</v>
      </c>
      <c r="I247">
        <v>2916</v>
      </c>
      <c r="J247" s="1" t="s">
        <v>32</v>
      </c>
      <c r="K247" s="12">
        <f t="shared" si="4"/>
        <v>226633.1</v>
      </c>
    </row>
    <row r="248" spans="1:11" ht="18.75" x14ac:dyDescent="0.3">
      <c r="A248" s="1" t="s">
        <v>167</v>
      </c>
      <c r="B248" s="2" t="s">
        <v>168</v>
      </c>
      <c r="C248" s="1" t="s">
        <v>39</v>
      </c>
      <c r="D248" s="1" t="s">
        <v>27</v>
      </c>
      <c r="E248" s="1" t="s">
        <v>169</v>
      </c>
      <c r="F248" s="9">
        <v>83393</v>
      </c>
      <c r="G248" s="9">
        <v>94936</v>
      </c>
      <c r="H248" s="14">
        <v>91.95</v>
      </c>
      <c r="I248">
        <v>5520</v>
      </c>
      <c r="J248" s="1" t="s">
        <v>36</v>
      </c>
      <c r="K248" s="12">
        <f t="shared" si="4"/>
        <v>183940.95</v>
      </c>
    </row>
    <row r="249" spans="1:11" ht="18.75" x14ac:dyDescent="0.3">
      <c r="A249" s="1" t="s">
        <v>29</v>
      </c>
      <c r="B249" s="2" t="s">
        <v>30</v>
      </c>
      <c r="C249" s="1" t="s">
        <v>26</v>
      </c>
      <c r="D249" s="1" t="s">
        <v>27</v>
      </c>
      <c r="E249" s="1" t="s">
        <v>31</v>
      </c>
      <c r="F249" s="9">
        <v>47676</v>
      </c>
      <c r="G249" s="9">
        <v>55557</v>
      </c>
      <c r="H249" s="14">
        <v>97.25</v>
      </c>
      <c r="I249">
        <v>6945</v>
      </c>
      <c r="J249" s="1" t="s">
        <v>32</v>
      </c>
      <c r="K249" s="12">
        <f t="shared" si="4"/>
        <v>110275.25</v>
      </c>
    </row>
    <row r="250" spans="1:11" ht="18.75" x14ac:dyDescent="0.3">
      <c r="A250" s="1" t="s">
        <v>170</v>
      </c>
      <c r="B250" s="2" t="s">
        <v>171</v>
      </c>
      <c r="C250" s="1" t="s">
        <v>12</v>
      </c>
      <c r="D250" s="1" t="s">
        <v>22</v>
      </c>
      <c r="E250" s="1" t="s">
        <v>172</v>
      </c>
      <c r="F250" s="9">
        <v>40229</v>
      </c>
      <c r="G250" s="9">
        <v>48091</v>
      </c>
      <c r="H250" s="14">
        <v>85.78</v>
      </c>
      <c r="I250">
        <v>4044</v>
      </c>
      <c r="J250" s="1" t="s">
        <v>32</v>
      </c>
      <c r="K250" s="12">
        <f t="shared" si="4"/>
        <v>92449.78</v>
      </c>
    </row>
    <row r="251" spans="1:11" ht="18.75" x14ac:dyDescent="0.3">
      <c r="A251" s="1" t="s">
        <v>173</v>
      </c>
      <c r="B251" s="2" t="s">
        <v>174</v>
      </c>
      <c r="C251" s="1" t="s">
        <v>39</v>
      </c>
      <c r="D251" s="1" t="s">
        <v>43</v>
      </c>
      <c r="E251" s="1" t="s">
        <v>175</v>
      </c>
      <c r="F251" s="9">
        <v>116351</v>
      </c>
      <c r="G251" s="9">
        <v>120883</v>
      </c>
      <c r="H251" s="14">
        <v>98.66</v>
      </c>
      <c r="I251">
        <v>3939</v>
      </c>
      <c r="J251" s="1" t="s">
        <v>36</v>
      </c>
      <c r="K251" s="12">
        <f t="shared" si="4"/>
        <v>241271.66</v>
      </c>
    </row>
    <row r="252" spans="1:11" ht="18.75" x14ac:dyDescent="0.3">
      <c r="A252" s="1" t="s">
        <v>176</v>
      </c>
      <c r="B252" s="2" t="s">
        <v>177</v>
      </c>
      <c r="C252" s="1" t="s">
        <v>39</v>
      </c>
      <c r="D252" s="1" t="s">
        <v>22</v>
      </c>
      <c r="E252" s="1" t="s">
        <v>178</v>
      </c>
      <c r="F252" s="9">
        <v>58509</v>
      </c>
      <c r="G252" s="9">
        <v>65951</v>
      </c>
      <c r="H252" s="14">
        <v>96.08</v>
      </c>
      <c r="I252">
        <v>5372</v>
      </c>
      <c r="J252" s="1" t="s">
        <v>15</v>
      </c>
      <c r="K252" s="12">
        <f t="shared" si="4"/>
        <v>129928.08</v>
      </c>
    </row>
    <row r="253" spans="1:11" ht="18.75" x14ac:dyDescent="0.3">
      <c r="A253" s="1" t="s">
        <v>179</v>
      </c>
      <c r="B253" s="2" t="s">
        <v>180</v>
      </c>
      <c r="C253" s="1" t="s">
        <v>39</v>
      </c>
      <c r="D253" s="1" t="s">
        <v>53</v>
      </c>
      <c r="E253" s="1" t="s">
        <v>181</v>
      </c>
      <c r="F253" s="9">
        <v>85140</v>
      </c>
      <c r="G253" s="9">
        <v>87774</v>
      </c>
      <c r="H253" s="14">
        <v>97.45</v>
      </c>
      <c r="I253">
        <v>3822</v>
      </c>
      <c r="J253" s="1" t="s">
        <v>36</v>
      </c>
      <c r="K253" s="12">
        <f t="shared" si="4"/>
        <v>176833.45</v>
      </c>
    </row>
    <row r="254" spans="1:11" ht="18.75" x14ac:dyDescent="0.3">
      <c r="A254" s="1" t="s">
        <v>182</v>
      </c>
      <c r="B254" s="2" t="s">
        <v>183</v>
      </c>
      <c r="C254" s="1" t="s">
        <v>66</v>
      </c>
      <c r="D254" s="1" t="s">
        <v>22</v>
      </c>
      <c r="E254" s="1" t="s">
        <v>184</v>
      </c>
      <c r="F254" s="9">
        <v>64831</v>
      </c>
      <c r="G254" s="9">
        <v>70483</v>
      </c>
      <c r="H254" s="14">
        <v>82.43</v>
      </c>
      <c r="I254">
        <v>3582</v>
      </c>
      <c r="J254" s="1" t="s">
        <v>36</v>
      </c>
      <c r="K254" s="12">
        <f t="shared" si="4"/>
        <v>138978.43</v>
      </c>
    </row>
    <row r="255" spans="1:11" ht="18.75" x14ac:dyDescent="0.3">
      <c r="A255" s="1" t="s">
        <v>185</v>
      </c>
      <c r="B255" s="2" t="s">
        <v>186</v>
      </c>
      <c r="C255" s="1" t="s">
        <v>18</v>
      </c>
      <c r="D255" s="1" t="s">
        <v>22</v>
      </c>
      <c r="E255" s="1" t="s">
        <v>187</v>
      </c>
      <c r="F255" s="9">
        <v>71585</v>
      </c>
      <c r="G255" s="9">
        <v>79338</v>
      </c>
      <c r="H255" s="14">
        <v>93.55</v>
      </c>
      <c r="I255">
        <v>5274</v>
      </c>
      <c r="J255" s="1" t="s">
        <v>15</v>
      </c>
      <c r="K255" s="12">
        <f t="shared" si="4"/>
        <v>156290.54999999999</v>
      </c>
    </row>
    <row r="256" spans="1:11" ht="18.75" x14ac:dyDescent="0.3">
      <c r="A256" s="1" t="s">
        <v>188</v>
      </c>
      <c r="B256" s="2" t="s">
        <v>189</v>
      </c>
      <c r="C256" s="1" t="s">
        <v>12</v>
      </c>
      <c r="D256" s="1" t="s">
        <v>27</v>
      </c>
      <c r="E256" s="1" t="s">
        <v>157</v>
      </c>
      <c r="F256" s="9">
        <v>69237</v>
      </c>
      <c r="G256" s="9">
        <v>74162</v>
      </c>
      <c r="H256" s="14">
        <v>92.45</v>
      </c>
      <c r="I256">
        <v>4174</v>
      </c>
      <c r="J256" s="1" t="s">
        <v>32</v>
      </c>
      <c r="K256" s="12">
        <f t="shared" si="4"/>
        <v>147665.45000000001</v>
      </c>
    </row>
    <row r="257" spans="1:11" ht="18.75" x14ac:dyDescent="0.3">
      <c r="A257" s="1" t="s">
        <v>190</v>
      </c>
      <c r="B257" s="2" t="s">
        <v>191</v>
      </c>
      <c r="C257" s="1" t="s">
        <v>12</v>
      </c>
      <c r="D257" s="1" t="s">
        <v>53</v>
      </c>
      <c r="E257" s="1" t="s">
        <v>192</v>
      </c>
      <c r="F257" s="9">
        <v>80309</v>
      </c>
      <c r="G257" s="9">
        <v>87448</v>
      </c>
      <c r="H257" s="14">
        <v>89.86</v>
      </c>
      <c r="I257">
        <v>6189</v>
      </c>
      <c r="J257" s="1" t="s">
        <v>32</v>
      </c>
      <c r="K257" s="12">
        <f t="shared" si="4"/>
        <v>174035.86</v>
      </c>
    </row>
    <row r="258" spans="1:11" ht="18.75" x14ac:dyDescent="0.3">
      <c r="A258" s="1" t="s">
        <v>193</v>
      </c>
      <c r="B258" s="2" t="s">
        <v>194</v>
      </c>
      <c r="C258" s="1" t="s">
        <v>18</v>
      </c>
      <c r="D258" s="1" t="s">
        <v>13</v>
      </c>
      <c r="E258" s="1" t="s">
        <v>195</v>
      </c>
      <c r="F258" s="9">
        <v>68386</v>
      </c>
      <c r="G258" s="9">
        <v>71113</v>
      </c>
      <c r="H258" s="14">
        <v>94.76</v>
      </c>
      <c r="I258">
        <v>2013</v>
      </c>
      <c r="J258" s="1" t="s">
        <v>32</v>
      </c>
      <c r="K258" s="12">
        <f t="shared" si="4"/>
        <v>141606.76</v>
      </c>
    </row>
    <row r="259" spans="1:11" ht="18.75" x14ac:dyDescent="0.3">
      <c r="A259" s="1" t="s">
        <v>196</v>
      </c>
      <c r="B259" s="2" t="s">
        <v>197</v>
      </c>
      <c r="C259" s="1" t="s">
        <v>26</v>
      </c>
      <c r="D259" s="1" t="s">
        <v>13</v>
      </c>
      <c r="E259" s="1" t="s">
        <v>198</v>
      </c>
      <c r="F259" s="9">
        <v>82739</v>
      </c>
      <c r="G259" s="9">
        <v>91805</v>
      </c>
      <c r="H259" s="14">
        <v>83.26</v>
      </c>
      <c r="I259">
        <v>7441</v>
      </c>
      <c r="J259" s="1" t="s">
        <v>36</v>
      </c>
      <c r="K259" s="12">
        <f t="shared" si="4"/>
        <v>182068.26</v>
      </c>
    </row>
    <row r="260" spans="1:11" ht="18.75" x14ac:dyDescent="0.3">
      <c r="A260" s="1" t="s">
        <v>33</v>
      </c>
      <c r="B260" s="2" t="s">
        <v>34</v>
      </c>
      <c r="C260" s="1" t="s">
        <v>12</v>
      </c>
      <c r="D260" s="1" t="s">
        <v>13</v>
      </c>
      <c r="E260" s="1" t="s">
        <v>35</v>
      </c>
      <c r="F260" s="9">
        <v>105284</v>
      </c>
      <c r="G260" s="9">
        <v>109329</v>
      </c>
      <c r="H260" s="14">
        <v>99.52</v>
      </c>
      <c r="I260">
        <v>5100</v>
      </c>
      <c r="J260" s="1" t="s">
        <v>36</v>
      </c>
      <c r="K260" s="12">
        <f t="shared" si="4"/>
        <v>219812.52</v>
      </c>
    </row>
    <row r="261" spans="1:11" ht="18.75" x14ac:dyDescent="0.3">
      <c r="A261" s="1" t="s">
        <v>199</v>
      </c>
      <c r="B261" s="2" t="s">
        <v>200</v>
      </c>
      <c r="C261" s="1" t="s">
        <v>26</v>
      </c>
      <c r="D261" s="1" t="s">
        <v>53</v>
      </c>
      <c r="E261" s="1" t="s">
        <v>201</v>
      </c>
      <c r="F261" s="9">
        <v>74363</v>
      </c>
      <c r="G261" s="9">
        <v>84671</v>
      </c>
      <c r="H261" s="14">
        <v>87.57</v>
      </c>
      <c r="I261">
        <v>5345</v>
      </c>
      <c r="J261" s="1" t="s">
        <v>32</v>
      </c>
      <c r="K261" s="12">
        <f t="shared" si="4"/>
        <v>164466.57</v>
      </c>
    </row>
    <row r="262" spans="1:11" ht="18.75" x14ac:dyDescent="0.3">
      <c r="A262" s="1" t="s">
        <v>202</v>
      </c>
      <c r="B262" s="2" t="s">
        <v>203</v>
      </c>
      <c r="C262" s="1" t="s">
        <v>66</v>
      </c>
      <c r="D262" s="1" t="s">
        <v>43</v>
      </c>
      <c r="E262" s="1" t="s">
        <v>204</v>
      </c>
      <c r="F262" s="9">
        <v>107667</v>
      </c>
      <c r="G262" s="9">
        <v>111752</v>
      </c>
      <c r="H262" s="14">
        <v>85.45</v>
      </c>
      <c r="I262">
        <v>7447</v>
      </c>
      <c r="J262" s="1" t="s">
        <v>32</v>
      </c>
      <c r="K262" s="12">
        <f t="shared" si="4"/>
        <v>226951.45</v>
      </c>
    </row>
    <row r="263" spans="1:11" ht="18.75" x14ac:dyDescent="0.3">
      <c r="A263" s="1" t="s">
        <v>205</v>
      </c>
      <c r="B263" s="2" t="s">
        <v>206</v>
      </c>
      <c r="C263" s="1" t="s">
        <v>26</v>
      </c>
      <c r="D263" s="1" t="s">
        <v>22</v>
      </c>
      <c r="E263" s="1" t="s">
        <v>207</v>
      </c>
      <c r="F263" s="9">
        <v>74446</v>
      </c>
      <c r="G263" s="9">
        <v>83099</v>
      </c>
      <c r="H263" s="14">
        <v>91.86</v>
      </c>
      <c r="I263">
        <v>2003</v>
      </c>
      <c r="J263" s="1" t="s">
        <v>15</v>
      </c>
      <c r="K263" s="12">
        <f t="shared" si="4"/>
        <v>159639.85999999999</v>
      </c>
    </row>
    <row r="264" spans="1:11" ht="18.75" x14ac:dyDescent="0.3">
      <c r="A264" s="1" t="s">
        <v>208</v>
      </c>
      <c r="B264" s="2" t="s">
        <v>209</v>
      </c>
      <c r="C264" s="1" t="s">
        <v>66</v>
      </c>
      <c r="D264" s="1" t="s">
        <v>53</v>
      </c>
      <c r="E264" s="1" t="s">
        <v>210</v>
      </c>
      <c r="F264" s="9">
        <v>111019</v>
      </c>
      <c r="G264" s="9">
        <v>122958</v>
      </c>
      <c r="H264" s="14">
        <v>93.78</v>
      </c>
      <c r="I264">
        <v>5809</v>
      </c>
      <c r="J264" s="1" t="s">
        <v>32</v>
      </c>
      <c r="K264" s="12">
        <f t="shared" si="4"/>
        <v>239879.78</v>
      </c>
    </row>
    <row r="265" spans="1:11" ht="18.75" x14ac:dyDescent="0.3">
      <c r="A265" s="1" t="s">
        <v>211</v>
      </c>
      <c r="B265" s="2" t="s">
        <v>212</v>
      </c>
      <c r="C265" s="1" t="s">
        <v>39</v>
      </c>
      <c r="D265" s="1" t="s">
        <v>27</v>
      </c>
      <c r="E265" s="1" t="s">
        <v>213</v>
      </c>
      <c r="F265" s="9">
        <v>102000</v>
      </c>
      <c r="G265" s="9">
        <v>111752</v>
      </c>
      <c r="H265" s="14">
        <v>96.29</v>
      </c>
      <c r="I265">
        <v>8521</v>
      </c>
      <c r="J265" s="1" t="s">
        <v>907</v>
      </c>
      <c r="K265" s="12">
        <f t="shared" si="4"/>
        <v>222369.29</v>
      </c>
    </row>
    <row r="266" spans="1:11" ht="18.75" x14ac:dyDescent="0.3">
      <c r="A266" s="1" t="s">
        <v>214</v>
      </c>
      <c r="B266" s="2" t="s">
        <v>215</v>
      </c>
      <c r="C266" s="1" t="s">
        <v>39</v>
      </c>
      <c r="D266" s="1" t="s">
        <v>22</v>
      </c>
      <c r="E266" s="1" t="s">
        <v>216</v>
      </c>
      <c r="F266" s="9">
        <v>117960</v>
      </c>
      <c r="G266" s="9">
        <v>125451</v>
      </c>
      <c r="H266" s="14">
        <v>83.68</v>
      </c>
      <c r="I266">
        <v>8153</v>
      </c>
      <c r="J266" s="1" t="s">
        <v>15</v>
      </c>
      <c r="K266" s="12">
        <f t="shared" ref="K266:K303" si="5">SUM(F266:J266)</f>
        <v>251647.68</v>
      </c>
    </row>
    <row r="267" spans="1:11" ht="18.75" x14ac:dyDescent="0.3">
      <c r="A267" s="1" t="s">
        <v>217</v>
      </c>
      <c r="B267" s="2" t="s">
        <v>218</v>
      </c>
      <c r="C267" s="1" t="s">
        <v>18</v>
      </c>
      <c r="D267" s="1" t="s">
        <v>27</v>
      </c>
      <c r="E267" s="1" t="s">
        <v>219</v>
      </c>
      <c r="F267" s="9">
        <v>54313</v>
      </c>
      <c r="G267" s="9">
        <v>56713</v>
      </c>
      <c r="H267" s="14">
        <v>82.83</v>
      </c>
      <c r="I267">
        <v>5892</v>
      </c>
      <c r="J267" s="1" t="s">
        <v>36</v>
      </c>
      <c r="K267" s="12">
        <f t="shared" si="5"/>
        <v>117000.83</v>
      </c>
    </row>
    <row r="268" spans="1:11" ht="18.75" x14ac:dyDescent="0.3">
      <c r="A268" s="1" t="s">
        <v>220</v>
      </c>
      <c r="B268" s="2" t="s">
        <v>221</v>
      </c>
      <c r="C268" s="1" t="s">
        <v>66</v>
      </c>
      <c r="D268" s="1" t="s">
        <v>53</v>
      </c>
      <c r="E268" s="1" t="s">
        <v>222</v>
      </c>
      <c r="F268" s="9">
        <v>117544</v>
      </c>
      <c r="G268" s="9">
        <v>128975</v>
      </c>
      <c r="H268" s="14">
        <v>85.5</v>
      </c>
      <c r="I268">
        <v>7704</v>
      </c>
      <c r="J268" s="1" t="s">
        <v>36</v>
      </c>
      <c r="K268" s="12">
        <f t="shared" si="5"/>
        <v>254308.5</v>
      </c>
    </row>
    <row r="269" spans="1:11" ht="18.75" x14ac:dyDescent="0.3">
      <c r="A269" s="1" t="s">
        <v>223</v>
      </c>
      <c r="B269" s="2" t="s">
        <v>224</v>
      </c>
      <c r="C269" s="1" t="s">
        <v>12</v>
      </c>
      <c r="D269" s="1" t="s">
        <v>53</v>
      </c>
      <c r="E269" s="1" t="s">
        <v>225</v>
      </c>
      <c r="F269" s="9">
        <v>54342</v>
      </c>
      <c r="G269" s="9">
        <v>56432</v>
      </c>
      <c r="H269" s="14">
        <v>98.07</v>
      </c>
      <c r="I269">
        <v>8308</v>
      </c>
      <c r="J269" s="1" t="s">
        <v>15</v>
      </c>
      <c r="K269" s="12">
        <f t="shared" si="5"/>
        <v>119180.07</v>
      </c>
    </row>
    <row r="270" spans="1:11" ht="18.75" x14ac:dyDescent="0.3">
      <c r="A270" s="1" t="s">
        <v>226</v>
      </c>
      <c r="B270" s="2" t="s">
        <v>227</v>
      </c>
      <c r="C270" s="1" t="s">
        <v>12</v>
      </c>
      <c r="D270" s="1" t="s">
        <v>53</v>
      </c>
      <c r="E270" s="1" t="s">
        <v>228</v>
      </c>
      <c r="F270" s="9">
        <v>102889</v>
      </c>
      <c r="G270" s="9">
        <v>112500</v>
      </c>
      <c r="H270" s="14">
        <v>82.9</v>
      </c>
      <c r="I270">
        <v>4041</v>
      </c>
      <c r="J270" s="1" t="s">
        <v>15</v>
      </c>
      <c r="K270" s="12">
        <f t="shared" si="5"/>
        <v>219512.9</v>
      </c>
    </row>
    <row r="271" spans="1:11" ht="18.75" x14ac:dyDescent="0.3">
      <c r="A271" s="1" t="s">
        <v>37</v>
      </c>
      <c r="B271" s="2" t="s">
        <v>38</v>
      </c>
      <c r="C271" s="1" t="s">
        <v>39</v>
      </c>
      <c r="D271" s="1" t="s">
        <v>22</v>
      </c>
      <c r="E271" s="1" t="s">
        <v>40</v>
      </c>
      <c r="F271" s="9">
        <v>110674</v>
      </c>
      <c r="G271" s="9">
        <v>115824</v>
      </c>
      <c r="H271" s="14">
        <v>94.68</v>
      </c>
      <c r="I271">
        <v>2375</v>
      </c>
      <c r="J271" s="1" t="s">
        <v>15</v>
      </c>
      <c r="K271" s="12">
        <f t="shared" si="5"/>
        <v>228967.67999999999</v>
      </c>
    </row>
    <row r="272" spans="1:11" ht="18.75" x14ac:dyDescent="0.3">
      <c r="A272" s="1" t="s">
        <v>229</v>
      </c>
      <c r="B272" s="2" t="s">
        <v>230</v>
      </c>
      <c r="C272" s="1" t="s">
        <v>66</v>
      </c>
      <c r="D272" s="1" t="s">
        <v>13</v>
      </c>
      <c r="E272" s="1" t="s">
        <v>231</v>
      </c>
      <c r="F272" s="9">
        <v>104616</v>
      </c>
      <c r="G272" s="9">
        <v>115773</v>
      </c>
      <c r="H272" s="14">
        <v>92.72</v>
      </c>
      <c r="I272">
        <v>8187</v>
      </c>
      <c r="J272" s="1" t="s">
        <v>32</v>
      </c>
      <c r="K272" s="12">
        <f t="shared" si="5"/>
        <v>228668.72</v>
      </c>
    </row>
    <row r="273" spans="1:11" ht="18.75" x14ac:dyDescent="0.3">
      <c r="A273" s="1" t="s">
        <v>232</v>
      </c>
      <c r="B273" s="2" t="s">
        <v>233</v>
      </c>
      <c r="C273" s="1" t="s">
        <v>66</v>
      </c>
      <c r="D273" s="1" t="s">
        <v>53</v>
      </c>
      <c r="E273" s="1" t="s">
        <v>234</v>
      </c>
      <c r="F273" s="9">
        <v>90933</v>
      </c>
      <c r="G273" s="9">
        <v>101909</v>
      </c>
      <c r="H273" s="14">
        <v>90.03</v>
      </c>
      <c r="I273">
        <v>3303</v>
      </c>
      <c r="J273" s="1" t="s">
        <v>36</v>
      </c>
      <c r="K273" s="12">
        <f t="shared" si="5"/>
        <v>196235.03</v>
      </c>
    </row>
    <row r="274" spans="1:11" ht="18.75" x14ac:dyDescent="0.3">
      <c r="A274" s="1" t="s">
        <v>235</v>
      </c>
      <c r="B274" s="2" t="s">
        <v>236</v>
      </c>
      <c r="C274" s="1" t="s">
        <v>66</v>
      </c>
      <c r="D274" s="1" t="s">
        <v>43</v>
      </c>
      <c r="E274" s="1" t="s">
        <v>237</v>
      </c>
      <c r="F274" s="9">
        <v>118579</v>
      </c>
      <c r="G274" s="9">
        <v>125122</v>
      </c>
      <c r="H274" s="14">
        <v>95.78</v>
      </c>
      <c r="I274">
        <v>6270</v>
      </c>
      <c r="J274" s="1" t="s">
        <v>36</v>
      </c>
      <c r="K274" s="12">
        <f t="shared" si="5"/>
        <v>250066.78</v>
      </c>
    </row>
    <row r="275" spans="1:11" ht="18.75" x14ac:dyDescent="0.3">
      <c r="A275" s="1" t="s">
        <v>238</v>
      </c>
      <c r="B275" s="2" t="s">
        <v>239</v>
      </c>
      <c r="C275" s="1" t="s">
        <v>26</v>
      </c>
      <c r="D275" s="1" t="s">
        <v>13</v>
      </c>
      <c r="E275" s="1" t="s">
        <v>240</v>
      </c>
      <c r="F275" s="9">
        <v>45155</v>
      </c>
      <c r="G275" s="9">
        <v>51836</v>
      </c>
      <c r="H275" s="14">
        <v>86.22</v>
      </c>
      <c r="I275">
        <v>4751</v>
      </c>
      <c r="J275" s="1" t="s">
        <v>15</v>
      </c>
      <c r="K275" s="12">
        <f t="shared" si="5"/>
        <v>101828.22</v>
      </c>
    </row>
    <row r="276" spans="1:11" ht="18.75" x14ac:dyDescent="0.3">
      <c r="A276" s="1" t="s">
        <v>241</v>
      </c>
      <c r="B276" s="2" t="s">
        <v>242</v>
      </c>
      <c r="C276" s="1" t="s">
        <v>39</v>
      </c>
      <c r="D276" s="1" t="s">
        <v>27</v>
      </c>
      <c r="E276" s="1" t="s">
        <v>243</v>
      </c>
      <c r="F276" s="9">
        <v>54769</v>
      </c>
      <c r="G276" s="9">
        <v>60557</v>
      </c>
      <c r="H276" s="14">
        <v>88.89</v>
      </c>
      <c r="I276">
        <v>3251</v>
      </c>
      <c r="J276" s="1" t="s">
        <v>36</v>
      </c>
      <c r="K276" s="12">
        <f t="shared" si="5"/>
        <v>118665.89</v>
      </c>
    </row>
    <row r="277" spans="1:11" ht="18.75" x14ac:dyDescent="0.3">
      <c r="A277" s="1" t="s">
        <v>244</v>
      </c>
      <c r="B277" s="2" t="s">
        <v>245</v>
      </c>
      <c r="C277" s="1" t="s">
        <v>39</v>
      </c>
      <c r="D277" s="1" t="s">
        <v>53</v>
      </c>
      <c r="E277" s="1" t="s">
        <v>246</v>
      </c>
      <c r="F277" s="9">
        <v>78369</v>
      </c>
      <c r="G277" s="9">
        <v>89259</v>
      </c>
      <c r="H277" s="14">
        <v>90.39</v>
      </c>
      <c r="I277">
        <v>2510</v>
      </c>
      <c r="J277" s="1" t="s">
        <v>36</v>
      </c>
      <c r="K277" s="12">
        <f t="shared" si="5"/>
        <v>170228.39</v>
      </c>
    </row>
    <row r="278" spans="1:11" ht="18.75" x14ac:dyDescent="0.3">
      <c r="A278" s="1" t="s">
        <v>247</v>
      </c>
      <c r="B278" s="2" t="s">
        <v>248</v>
      </c>
      <c r="C278" s="1" t="s">
        <v>26</v>
      </c>
      <c r="D278" s="1" t="s">
        <v>22</v>
      </c>
      <c r="E278" s="1" t="s">
        <v>249</v>
      </c>
      <c r="F278" s="9">
        <v>37560</v>
      </c>
      <c r="G278" s="9">
        <v>48992</v>
      </c>
      <c r="H278" s="14">
        <v>88.85</v>
      </c>
      <c r="I278">
        <v>2048</v>
      </c>
      <c r="J278" s="1" t="s">
        <v>36</v>
      </c>
      <c r="K278" s="12">
        <f t="shared" si="5"/>
        <v>88688.85</v>
      </c>
    </row>
    <row r="279" spans="1:11" ht="18.75" x14ac:dyDescent="0.3">
      <c r="A279" s="1" t="s">
        <v>250</v>
      </c>
      <c r="B279" s="2" t="s">
        <v>251</v>
      </c>
      <c r="C279" s="1" t="s">
        <v>66</v>
      </c>
      <c r="D279" s="1" t="s">
        <v>43</v>
      </c>
      <c r="E279" s="1" t="s">
        <v>252</v>
      </c>
      <c r="F279" s="9">
        <v>105545</v>
      </c>
      <c r="G279" s="9">
        <v>116492</v>
      </c>
      <c r="H279" s="14">
        <v>96.4</v>
      </c>
      <c r="I279">
        <v>3806</v>
      </c>
      <c r="J279" s="1" t="s">
        <v>36</v>
      </c>
      <c r="K279" s="12">
        <f t="shared" si="5"/>
        <v>225939.4</v>
      </c>
    </row>
    <row r="280" spans="1:11" ht="18.75" x14ac:dyDescent="0.3">
      <c r="A280" s="1" t="s">
        <v>253</v>
      </c>
      <c r="B280" s="2" t="s">
        <v>254</v>
      </c>
      <c r="C280" s="1" t="s">
        <v>66</v>
      </c>
      <c r="D280" s="1" t="s">
        <v>43</v>
      </c>
      <c r="E280" s="1" t="s">
        <v>255</v>
      </c>
      <c r="F280" s="9">
        <v>98654</v>
      </c>
      <c r="G280" s="9">
        <v>101129</v>
      </c>
      <c r="H280" s="14">
        <v>89</v>
      </c>
      <c r="I280">
        <v>7479</v>
      </c>
      <c r="J280" s="1" t="s">
        <v>36</v>
      </c>
      <c r="K280" s="12">
        <f t="shared" si="5"/>
        <v>207351</v>
      </c>
    </row>
    <row r="281" spans="1:11" ht="18.75" x14ac:dyDescent="0.3">
      <c r="A281" s="1" t="s">
        <v>256</v>
      </c>
      <c r="B281" s="2" t="s">
        <v>257</v>
      </c>
      <c r="C281" s="1" t="s">
        <v>18</v>
      </c>
      <c r="D281" s="1" t="s">
        <v>13</v>
      </c>
      <c r="E281" s="1" t="s">
        <v>258</v>
      </c>
      <c r="F281" s="9">
        <v>116560</v>
      </c>
      <c r="G281" s="9">
        <v>127311</v>
      </c>
      <c r="H281" s="14">
        <v>82.49</v>
      </c>
      <c r="I281">
        <v>5227</v>
      </c>
      <c r="J281" s="1" t="s">
        <v>32</v>
      </c>
      <c r="K281" s="12">
        <f t="shared" si="5"/>
        <v>249180.49</v>
      </c>
    </row>
    <row r="282" spans="1:11" ht="18.75" x14ac:dyDescent="0.3">
      <c r="A282" s="1" t="s">
        <v>41</v>
      </c>
      <c r="B282" s="2" t="s">
        <v>42</v>
      </c>
      <c r="C282" s="1" t="s">
        <v>26</v>
      </c>
      <c r="D282" s="1" t="s">
        <v>43</v>
      </c>
      <c r="E282" s="1" t="s">
        <v>44</v>
      </c>
      <c r="F282" s="9">
        <v>48238</v>
      </c>
      <c r="G282" s="9">
        <v>56465</v>
      </c>
      <c r="H282" s="14">
        <v>87</v>
      </c>
      <c r="I282">
        <v>7207</v>
      </c>
      <c r="J282" s="1" t="s">
        <v>36</v>
      </c>
      <c r="K282" s="12">
        <f t="shared" si="5"/>
        <v>111997</v>
      </c>
    </row>
    <row r="283" spans="1:11" ht="18.75" x14ac:dyDescent="0.3">
      <c r="A283" s="1" t="s">
        <v>259</v>
      </c>
      <c r="B283" s="2" t="s">
        <v>260</v>
      </c>
      <c r="C283" s="1" t="s">
        <v>39</v>
      </c>
      <c r="D283" s="1" t="s">
        <v>27</v>
      </c>
      <c r="E283" s="1" t="s">
        <v>261</v>
      </c>
      <c r="F283" s="9">
        <v>46003</v>
      </c>
      <c r="G283" s="9">
        <v>55025</v>
      </c>
      <c r="H283" s="14">
        <v>84.44</v>
      </c>
      <c r="I283">
        <v>5782</v>
      </c>
      <c r="J283" s="1" t="s">
        <v>36</v>
      </c>
      <c r="K283" s="12">
        <f t="shared" si="5"/>
        <v>106894.44</v>
      </c>
    </row>
    <row r="284" spans="1:11" ht="18.75" x14ac:dyDescent="0.3">
      <c r="A284" s="1" t="s">
        <v>262</v>
      </c>
      <c r="B284" s="2" t="s">
        <v>263</v>
      </c>
      <c r="C284" s="1" t="s">
        <v>66</v>
      </c>
      <c r="D284" s="1" t="s">
        <v>22</v>
      </c>
      <c r="E284" s="1" t="s">
        <v>124</v>
      </c>
      <c r="F284" s="9">
        <v>77906</v>
      </c>
      <c r="G284" s="9">
        <v>83373</v>
      </c>
      <c r="H284" s="14">
        <v>90.18</v>
      </c>
      <c r="I284">
        <v>4764</v>
      </c>
      <c r="J284" s="1" t="s">
        <v>36</v>
      </c>
      <c r="K284" s="12">
        <f t="shared" si="5"/>
        <v>166133.18</v>
      </c>
    </row>
    <row r="285" spans="1:11" ht="18.75" x14ac:dyDescent="0.3">
      <c r="A285" s="1" t="s">
        <v>264</v>
      </c>
      <c r="B285" s="2" t="s">
        <v>265</v>
      </c>
      <c r="C285" s="1" t="s">
        <v>12</v>
      </c>
      <c r="D285" s="1" t="s">
        <v>22</v>
      </c>
      <c r="E285" s="1" t="s">
        <v>266</v>
      </c>
      <c r="F285" s="9">
        <v>45735</v>
      </c>
      <c r="G285" s="9">
        <v>55440</v>
      </c>
      <c r="H285" s="14">
        <v>82.35</v>
      </c>
      <c r="I285">
        <v>6418</v>
      </c>
      <c r="J285" s="1" t="s">
        <v>15</v>
      </c>
      <c r="K285" s="12">
        <f t="shared" si="5"/>
        <v>107675.35</v>
      </c>
    </row>
    <row r="286" spans="1:11" ht="18.75" x14ac:dyDescent="0.3">
      <c r="A286" s="1" t="s">
        <v>267</v>
      </c>
      <c r="B286" s="2" t="s">
        <v>268</v>
      </c>
      <c r="C286" s="1" t="s">
        <v>12</v>
      </c>
      <c r="D286" s="1" t="s">
        <v>13</v>
      </c>
      <c r="E286" s="1" t="s">
        <v>269</v>
      </c>
      <c r="F286" s="9">
        <v>40276</v>
      </c>
      <c r="G286" s="9">
        <v>42784</v>
      </c>
      <c r="H286" s="14">
        <v>99.09</v>
      </c>
      <c r="I286">
        <v>3633</v>
      </c>
      <c r="J286" s="1" t="s">
        <v>15</v>
      </c>
      <c r="K286" s="12">
        <f t="shared" si="5"/>
        <v>86792.09</v>
      </c>
    </row>
    <row r="287" spans="1:11" ht="18.75" x14ac:dyDescent="0.3">
      <c r="A287" s="1" t="s">
        <v>270</v>
      </c>
      <c r="B287" s="2" t="s">
        <v>271</v>
      </c>
      <c r="C287" s="1" t="s">
        <v>39</v>
      </c>
      <c r="D287" s="1" t="s">
        <v>53</v>
      </c>
      <c r="E287" s="1" t="s">
        <v>272</v>
      </c>
      <c r="F287" s="9">
        <v>51544</v>
      </c>
      <c r="G287" s="9">
        <v>61302</v>
      </c>
      <c r="H287" s="14">
        <v>94.05</v>
      </c>
      <c r="I287">
        <v>6620</v>
      </c>
      <c r="J287" s="1" t="s">
        <v>32</v>
      </c>
      <c r="K287" s="12">
        <f t="shared" si="5"/>
        <v>119560.05</v>
      </c>
    </row>
    <row r="288" spans="1:11" ht="18.75" x14ac:dyDescent="0.3">
      <c r="A288" s="1" t="s">
        <v>273</v>
      </c>
      <c r="B288" s="2" t="s">
        <v>274</v>
      </c>
      <c r="C288" s="1" t="s">
        <v>12</v>
      </c>
      <c r="D288" s="1" t="s">
        <v>43</v>
      </c>
      <c r="E288" s="1" t="s">
        <v>275</v>
      </c>
      <c r="F288" s="9">
        <v>83351</v>
      </c>
      <c r="G288" s="9">
        <v>88100</v>
      </c>
      <c r="H288" s="14">
        <v>92.91</v>
      </c>
      <c r="I288">
        <v>8127</v>
      </c>
      <c r="J288" s="1" t="s">
        <v>36</v>
      </c>
      <c r="K288" s="12">
        <f t="shared" si="5"/>
        <v>179670.91</v>
      </c>
    </row>
    <row r="289" spans="1:29" ht="18.75" x14ac:dyDescent="0.3">
      <c r="A289" s="1" t="s">
        <v>276</v>
      </c>
      <c r="B289" s="2" t="s">
        <v>277</v>
      </c>
      <c r="C289" s="1" t="s">
        <v>66</v>
      </c>
      <c r="D289" s="1" t="s">
        <v>53</v>
      </c>
      <c r="E289" s="1" t="s">
        <v>181</v>
      </c>
      <c r="F289" s="9">
        <v>110849</v>
      </c>
      <c r="G289" s="9">
        <v>113269</v>
      </c>
      <c r="H289" s="14">
        <v>98.72</v>
      </c>
      <c r="I289">
        <v>6716</v>
      </c>
      <c r="J289" s="1" t="s">
        <v>32</v>
      </c>
      <c r="K289" s="12">
        <f t="shared" si="5"/>
        <v>230932.72</v>
      </c>
    </row>
    <row r="290" spans="1:29" ht="18.75" x14ac:dyDescent="0.3">
      <c r="A290" s="1" t="s">
        <v>278</v>
      </c>
      <c r="B290" s="2" t="s">
        <v>279</v>
      </c>
      <c r="C290" s="1" t="s">
        <v>39</v>
      </c>
      <c r="D290" s="1" t="s">
        <v>27</v>
      </c>
      <c r="E290" s="1" t="s">
        <v>280</v>
      </c>
      <c r="F290" s="9">
        <v>44961</v>
      </c>
      <c r="G290" s="9">
        <v>56661</v>
      </c>
      <c r="H290" s="14">
        <v>94.43</v>
      </c>
      <c r="I290">
        <v>7138</v>
      </c>
      <c r="J290" s="1" t="s">
        <v>32</v>
      </c>
      <c r="K290" s="12">
        <f t="shared" si="5"/>
        <v>108854.43</v>
      </c>
    </row>
    <row r="291" spans="1:29" ht="18.75" x14ac:dyDescent="0.3">
      <c r="A291" s="1" t="s">
        <v>281</v>
      </c>
      <c r="B291" s="2" t="s">
        <v>282</v>
      </c>
      <c r="C291" s="1" t="s">
        <v>12</v>
      </c>
      <c r="D291" s="1" t="s">
        <v>22</v>
      </c>
      <c r="E291" s="1" t="s">
        <v>283</v>
      </c>
      <c r="F291" s="9">
        <v>113697</v>
      </c>
      <c r="G291" s="9">
        <v>117680</v>
      </c>
      <c r="H291" s="14">
        <v>96.33</v>
      </c>
      <c r="I291">
        <v>6636</v>
      </c>
      <c r="J291" s="1" t="s">
        <v>32</v>
      </c>
      <c r="K291" s="12">
        <f t="shared" si="5"/>
        <v>238109.33</v>
      </c>
    </row>
    <row r="292" spans="1:29" ht="18.75" x14ac:dyDescent="0.3">
      <c r="A292" s="1" t="s">
        <v>284</v>
      </c>
      <c r="B292" s="2" t="s">
        <v>285</v>
      </c>
      <c r="C292" s="1" t="s">
        <v>12</v>
      </c>
      <c r="D292" s="1" t="s">
        <v>53</v>
      </c>
      <c r="E292" s="1" t="s">
        <v>286</v>
      </c>
      <c r="F292" s="9">
        <v>83571</v>
      </c>
      <c r="G292" s="9">
        <v>86700</v>
      </c>
      <c r="H292" s="14">
        <v>91.11</v>
      </c>
      <c r="I292">
        <v>4795</v>
      </c>
      <c r="J292" s="1" t="s">
        <v>36</v>
      </c>
      <c r="K292" s="12">
        <f t="shared" si="5"/>
        <v>175157.11</v>
      </c>
    </row>
    <row r="293" spans="1:29" ht="18.75" x14ac:dyDescent="0.3">
      <c r="A293" s="1" t="s">
        <v>45</v>
      </c>
      <c r="B293" s="2" t="s">
        <v>46</v>
      </c>
      <c r="C293" s="1" t="s">
        <v>12</v>
      </c>
      <c r="D293" s="1" t="s">
        <v>13</v>
      </c>
      <c r="E293" s="1" t="s">
        <v>47</v>
      </c>
      <c r="F293" s="9">
        <v>62460</v>
      </c>
      <c r="G293" s="9">
        <v>68834</v>
      </c>
      <c r="H293" s="14">
        <v>94.63</v>
      </c>
      <c r="I293">
        <v>7599</v>
      </c>
      <c r="J293" s="1" t="s">
        <v>32</v>
      </c>
      <c r="K293" s="12">
        <f t="shared" si="5"/>
        <v>138987.63</v>
      </c>
    </row>
    <row r="294" spans="1:29" ht="18.75" x14ac:dyDescent="0.3">
      <c r="A294" s="1" t="s">
        <v>287</v>
      </c>
      <c r="B294" s="2" t="s">
        <v>288</v>
      </c>
      <c r="C294" s="1" t="s">
        <v>66</v>
      </c>
      <c r="D294" s="1" t="s">
        <v>43</v>
      </c>
      <c r="E294" s="1" t="s">
        <v>289</v>
      </c>
      <c r="F294" s="9" t="s">
        <v>908</v>
      </c>
      <c r="G294" s="9">
        <v>99756</v>
      </c>
      <c r="H294" s="14">
        <v>93.44</v>
      </c>
      <c r="I294">
        <v>8788</v>
      </c>
      <c r="J294" s="1" t="s">
        <v>36</v>
      </c>
      <c r="K294" s="12">
        <f t="shared" si="5"/>
        <v>108637.44</v>
      </c>
    </row>
    <row r="295" spans="1:29" ht="18.75" x14ac:dyDescent="0.3">
      <c r="A295" s="1" t="s">
        <v>290</v>
      </c>
      <c r="B295" s="2" t="s">
        <v>291</v>
      </c>
      <c r="C295" s="1" t="s">
        <v>66</v>
      </c>
      <c r="D295" s="1" t="s">
        <v>53</v>
      </c>
      <c r="E295" s="1" t="s">
        <v>292</v>
      </c>
      <c r="F295" s="9">
        <v>103386</v>
      </c>
      <c r="G295" s="9">
        <v>109811</v>
      </c>
      <c r="H295" s="14">
        <v>93.09</v>
      </c>
      <c r="I295">
        <v>6408</v>
      </c>
      <c r="J295" s="1" t="s">
        <v>36</v>
      </c>
      <c r="K295" s="12">
        <f t="shared" si="5"/>
        <v>219698.09</v>
      </c>
    </row>
    <row r="296" spans="1:29" ht="18.75" x14ac:dyDescent="0.3">
      <c r="A296" s="1" t="s">
        <v>293</v>
      </c>
      <c r="B296" s="2" t="s">
        <v>294</v>
      </c>
      <c r="C296" s="1" t="s">
        <v>26</v>
      </c>
      <c r="D296" s="1" t="s">
        <v>53</v>
      </c>
      <c r="E296" s="1" t="s">
        <v>295</v>
      </c>
      <c r="F296" s="9">
        <v>77245</v>
      </c>
      <c r="G296" s="9">
        <v>83267</v>
      </c>
      <c r="H296" s="14">
        <v>96.95</v>
      </c>
      <c r="I296">
        <v>2709</v>
      </c>
      <c r="J296" s="1" t="s">
        <v>15</v>
      </c>
      <c r="K296" s="12">
        <f t="shared" si="5"/>
        <v>163317.95000000001</v>
      </c>
    </row>
    <row r="297" spans="1:29" ht="18.75" x14ac:dyDescent="0.3">
      <c r="A297" s="1" t="s">
        <v>296</v>
      </c>
      <c r="B297" s="2" t="s">
        <v>297</v>
      </c>
      <c r="C297" s="1" t="s">
        <v>12</v>
      </c>
      <c r="D297" s="1" t="s">
        <v>53</v>
      </c>
      <c r="E297" s="1" t="s">
        <v>231</v>
      </c>
      <c r="F297" s="9">
        <v>109691</v>
      </c>
      <c r="G297" s="9">
        <v>121690</v>
      </c>
      <c r="H297" s="14">
        <v>94.03</v>
      </c>
      <c r="I297">
        <v>4755</v>
      </c>
      <c r="J297" s="1" t="s">
        <v>36</v>
      </c>
      <c r="K297" s="12">
        <f t="shared" si="5"/>
        <v>236230.03</v>
      </c>
    </row>
    <row r="298" spans="1:29" ht="18.75" x14ac:dyDescent="0.3">
      <c r="A298" s="1" t="s">
        <v>298</v>
      </c>
      <c r="B298" s="2" t="s">
        <v>299</v>
      </c>
      <c r="C298" s="1" t="s">
        <v>26</v>
      </c>
      <c r="D298" s="1" t="s">
        <v>22</v>
      </c>
      <c r="E298" s="1" t="s">
        <v>300</v>
      </c>
      <c r="F298" s="9">
        <v>98904</v>
      </c>
      <c r="G298" s="9">
        <v>104379</v>
      </c>
      <c r="H298" s="14">
        <v>88.39</v>
      </c>
      <c r="I298">
        <v>4116</v>
      </c>
      <c r="J298" s="1" t="s">
        <v>32</v>
      </c>
      <c r="K298" s="12">
        <f t="shared" si="5"/>
        <v>207487.39</v>
      </c>
      <c r="O298" cm="1">
        <f t="array" aca="1" ref="O298:AC595" ca="1">A502:O799</f>
        <v>0</v>
      </c>
      <c r="P298">
        <f ca="1"/>
        <v>0</v>
      </c>
      <c r="Q298">
        <f ca="1"/>
        <v>0</v>
      </c>
      <c r="R298">
        <f ca="1"/>
        <v>0</v>
      </c>
      <c r="S298">
        <f ca="1"/>
        <v>0</v>
      </c>
      <c r="T298">
        <f ca="1"/>
        <v>0</v>
      </c>
      <c r="U298">
        <f ca="1"/>
        <v>0</v>
      </c>
      <c r="V298">
        <f ca="1"/>
        <v>0</v>
      </c>
      <c r="W298">
        <f ca="1"/>
        <v>0</v>
      </c>
      <c r="X298">
        <f ca="1"/>
        <v>0</v>
      </c>
      <c r="Y298">
        <f ca="1"/>
        <v>0</v>
      </c>
      <c r="Z298">
        <f ca="1"/>
        <v>0</v>
      </c>
      <c r="AA298">
        <f ca="1"/>
        <v>0</v>
      </c>
      <c r="AB298">
        <f ca="1"/>
        <v>0</v>
      </c>
      <c r="AC298">
        <f ca="1"/>
        <v>0</v>
      </c>
    </row>
    <row r="299" spans="1:29" ht="18.75" x14ac:dyDescent="0.3">
      <c r="A299" s="1" t="s">
        <v>301</v>
      </c>
      <c r="B299" s="2" t="s">
        <v>302</v>
      </c>
      <c r="C299" s="1" t="s">
        <v>12</v>
      </c>
      <c r="D299" s="1" t="s">
        <v>43</v>
      </c>
      <c r="E299" s="1" t="s">
        <v>303</v>
      </c>
      <c r="F299" s="9">
        <v>107848</v>
      </c>
      <c r="G299" s="9">
        <v>110014</v>
      </c>
      <c r="H299" s="14">
        <v>91.3</v>
      </c>
      <c r="I299">
        <v>3565</v>
      </c>
      <c r="J299" s="1" t="s">
        <v>32</v>
      </c>
      <c r="K299" s="12">
        <f t="shared" si="5"/>
        <v>221518.3</v>
      </c>
      <c r="O299">
        <f ca="1"/>
        <v>0</v>
      </c>
      <c r="P299">
        <f ca="1"/>
        <v>0</v>
      </c>
      <c r="Q299">
        <f ca="1"/>
        <v>0</v>
      </c>
      <c r="R299">
        <f ca="1"/>
        <v>0</v>
      </c>
      <c r="S299">
        <f ca="1"/>
        <v>0</v>
      </c>
      <c r="T299">
        <f ca="1"/>
        <v>0</v>
      </c>
      <c r="U299">
        <f ca="1"/>
        <v>0</v>
      </c>
      <c r="V299">
        <f ca="1"/>
        <v>0</v>
      </c>
      <c r="W299">
        <f ca="1"/>
        <v>0</v>
      </c>
      <c r="X299">
        <f ca="1"/>
        <v>0</v>
      </c>
      <c r="Y299">
        <f ca="1"/>
        <v>0</v>
      </c>
      <c r="Z299">
        <f ca="1"/>
        <v>0</v>
      </c>
      <c r="AA299">
        <f ca="1"/>
        <v>0</v>
      </c>
      <c r="AB299">
        <f ca="1"/>
        <v>0</v>
      </c>
      <c r="AC299">
        <f ca="1"/>
        <v>0</v>
      </c>
    </row>
    <row r="300" spans="1:29" ht="18.75" x14ac:dyDescent="0.3">
      <c r="A300" s="1" t="s">
        <v>304</v>
      </c>
      <c r="B300" s="2" t="s">
        <v>305</v>
      </c>
      <c r="C300" s="1" t="s">
        <v>66</v>
      </c>
      <c r="D300" s="1" t="s">
        <v>53</v>
      </c>
      <c r="E300" s="1" t="s">
        <v>175</v>
      </c>
      <c r="F300" s="9">
        <v>99038</v>
      </c>
      <c r="G300" s="9">
        <v>110134</v>
      </c>
      <c r="H300" s="14">
        <v>95.65</v>
      </c>
      <c r="I300">
        <v>7657</v>
      </c>
      <c r="J300" s="1" t="s">
        <v>36</v>
      </c>
      <c r="K300" s="12">
        <f t="shared" si="5"/>
        <v>216924.65</v>
      </c>
      <c r="O300">
        <f ca="1"/>
        <v>0</v>
      </c>
      <c r="P300">
        <f ca="1"/>
        <v>0</v>
      </c>
      <c r="Q300">
        <f ca="1"/>
        <v>0</v>
      </c>
      <c r="R300">
        <f ca="1"/>
        <v>0</v>
      </c>
      <c r="S300">
        <f ca="1"/>
        <v>0</v>
      </c>
      <c r="T300">
        <f ca="1"/>
        <v>0</v>
      </c>
      <c r="U300">
        <f ca="1"/>
        <v>0</v>
      </c>
      <c r="V300">
        <f ca="1"/>
        <v>0</v>
      </c>
      <c r="W300">
        <f ca="1"/>
        <v>0</v>
      </c>
      <c r="X300">
        <f ca="1"/>
        <v>0</v>
      </c>
      <c r="Y300">
        <f ca="1"/>
        <v>0</v>
      </c>
      <c r="Z300">
        <f ca="1"/>
        <v>0</v>
      </c>
      <c r="AA300">
        <f ca="1"/>
        <v>0</v>
      </c>
      <c r="AB300">
        <f ca="1"/>
        <v>0</v>
      </c>
      <c r="AC300">
        <f ca="1"/>
        <v>0</v>
      </c>
    </row>
    <row r="301" spans="1:29" ht="18.75" x14ac:dyDescent="0.3">
      <c r="A301" s="1" t="s">
        <v>306</v>
      </c>
      <c r="B301" s="2" t="s">
        <v>307</v>
      </c>
      <c r="C301" s="1" t="s">
        <v>39</v>
      </c>
      <c r="D301" s="1" t="s">
        <v>22</v>
      </c>
      <c r="E301" s="1" t="s">
        <v>308</v>
      </c>
      <c r="F301" s="9">
        <v>47196</v>
      </c>
      <c r="G301" s="9">
        <v>54016</v>
      </c>
      <c r="H301" s="14">
        <v>85.99</v>
      </c>
      <c r="I301">
        <v>7667</v>
      </c>
      <c r="J301" s="1" t="s">
        <v>32</v>
      </c>
      <c r="K301" s="12">
        <f t="shared" si="5"/>
        <v>108964.99</v>
      </c>
      <c r="O301">
        <f ca="1"/>
        <v>0</v>
      </c>
      <c r="P301">
        <f ca="1"/>
        <v>0</v>
      </c>
      <c r="Q301">
        <f ca="1"/>
        <v>0</v>
      </c>
      <c r="R301">
        <f ca="1"/>
        <v>0</v>
      </c>
      <c r="S301">
        <f ca="1"/>
        <v>0</v>
      </c>
      <c r="T301">
        <f ca="1"/>
        <v>0</v>
      </c>
      <c r="U301">
        <f ca="1"/>
        <v>0</v>
      </c>
      <c r="V301">
        <f ca="1"/>
        <v>0</v>
      </c>
      <c r="W301">
        <f ca="1"/>
        <v>0</v>
      </c>
      <c r="X301">
        <f ca="1"/>
        <v>0</v>
      </c>
      <c r="Y301">
        <f ca="1"/>
        <v>0</v>
      </c>
      <c r="Z301">
        <f ca="1"/>
        <v>0</v>
      </c>
      <c r="AA301">
        <f ca="1"/>
        <v>0</v>
      </c>
      <c r="AB301">
        <f ca="1"/>
        <v>0</v>
      </c>
      <c r="AC301">
        <f ca="1"/>
        <v>0</v>
      </c>
    </row>
    <row r="302" spans="1:29" ht="18.75" x14ac:dyDescent="0.3">
      <c r="A302" s="1" t="s">
        <v>309</v>
      </c>
      <c r="B302" s="2" t="s">
        <v>310</v>
      </c>
      <c r="C302" s="1" t="s">
        <v>66</v>
      </c>
      <c r="D302" s="1" t="s">
        <v>13</v>
      </c>
      <c r="E302" s="1" t="s">
        <v>311</v>
      </c>
      <c r="F302" s="9">
        <v>83368</v>
      </c>
      <c r="G302" s="9">
        <v>93121</v>
      </c>
      <c r="H302" s="14">
        <v>91.96</v>
      </c>
      <c r="I302">
        <v>4816</v>
      </c>
      <c r="J302" s="1" t="s">
        <v>36</v>
      </c>
      <c r="K302" s="12">
        <f t="shared" si="5"/>
        <v>181396.96</v>
      </c>
      <c r="O302">
        <f ca="1"/>
        <v>0</v>
      </c>
      <c r="P302">
        <f ca="1"/>
        <v>0</v>
      </c>
      <c r="Q302">
        <f ca="1"/>
        <v>0</v>
      </c>
      <c r="R302">
        <f ca="1"/>
        <v>0</v>
      </c>
      <c r="S302">
        <f ca="1"/>
        <v>0</v>
      </c>
      <c r="T302">
        <f ca="1"/>
        <v>0</v>
      </c>
      <c r="U302">
        <f ca="1"/>
        <v>0</v>
      </c>
      <c r="V302">
        <f ca="1"/>
        <v>0</v>
      </c>
      <c r="W302">
        <f ca="1"/>
        <v>0</v>
      </c>
      <c r="X302">
        <f ca="1"/>
        <v>0</v>
      </c>
      <c r="Y302">
        <f ca="1"/>
        <v>0</v>
      </c>
      <c r="Z302">
        <f ca="1"/>
        <v>0</v>
      </c>
      <c r="AA302">
        <f ca="1"/>
        <v>0</v>
      </c>
      <c r="AB302">
        <f ca="1"/>
        <v>0</v>
      </c>
      <c r="AC302">
        <f ca="1"/>
        <v>0</v>
      </c>
    </row>
    <row r="303" spans="1:29" ht="18.75" x14ac:dyDescent="0.3">
      <c r="A303" s="1" t="s">
        <v>312</v>
      </c>
      <c r="B303" s="2" t="s">
        <v>313</v>
      </c>
      <c r="C303" s="1" t="s">
        <v>12</v>
      </c>
      <c r="D303" s="1" t="s">
        <v>43</v>
      </c>
      <c r="E303" s="1" t="s">
        <v>314</v>
      </c>
      <c r="F303" s="9">
        <v>94473</v>
      </c>
      <c r="G303" s="9">
        <v>100911</v>
      </c>
      <c r="H303" s="14">
        <v>87.52</v>
      </c>
      <c r="I303">
        <v>3888</v>
      </c>
      <c r="J303" s="1" t="s">
        <v>36</v>
      </c>
      <c r="K303" s="12">
        <f t="shared" si="5"/>
        <v>199359.52</v>
      </c>
      <c r="O303">
        <f ca="1"/>
        <v>0</v>
      </c>
      <c r="P303">
        <f ca="1"/>
        <v>0</v>
      </c>
      <c r="Q303">
        <f ca="1"/>
        <v>0</v>
      </c>
      <c r="R303">
        <f ca="1"/>
        <v>0</v>
      </c>
      <c r="S303">
        <f ca="1"/>
        <v>0</v>
      </c>
      <c r="T303">
        <f ca="1"/>
        <v>0</v>
      </c>
      <c r="U303">
        <f ca="1"/>
        <v>0</v>
      </c>
      <c r="V303">
        <f ca="1"/>
        <v>0</v>
      </c>
      <c r="W303">
        <f ca="1"/>
        <v>0</v>
      </c>
      <c r="X303">
        <f ca="1"/>
        <v>0</v>
      </c>
      <c r="Y303">
        <f ca="1"/>
        <v>0</v>
      </c>
      <c r="Z303">
        <f ca="1"/>
        <v>0</v>
      </c>
      <c r="AA303">
        <f ca="1"/>
        <v>0</v>
      </c>
      <c r="AB303">
        <f ca="1"/>
        <v>0</v>
      </c>
      <c r="AC303">
        <f ca="1"/>
        <v>0</v>
      </c>
    </row>
    <row r="304" spans="1:29" x14ac:dyDescent="0.25">
      <c r="F304" s="12"/>
      <c r="G304" s="12"/>
      <c r="O304">
        <f ca="1"/>
        <v>0</v>
      </c>
      <c r="P304">
        <f ca="1"/>
        <v>0</v>
      </c>
      <c r="Q304">
        <f ca="1"/>
        <v>0</v>
      </c>
      <c r="R304">
        <f ca="1"/>
        <v>0</v>
      </c>
      <c r="S304">
        <f ca="1"/>
        <v>0</v>
      </c>
      <c r="T304">
        <f ca="1"/>
        <v>0</v>
      </c>
      <c r="U304">
        <f ca="1"/>
        <v>0</v>
      </c>
      <c r="V304">
        <f ca="1"/>
        <v>0</v>
      </c>
      <c r="W304">
        <f ca="1"/>
        <v>0</v>
      </c>
      <c r="X304">
        <f ca="1"/>
        <v>0</v>
      </c>
      <c r="Y304">
        <f ca="1"/>
        <v>0</v>
      </c>
      <c r="Z304">
        <f ca="1"/>
        <v>0</v>
      </c>
      <c r="AA304">
        <f ca="1"/>
        <v>0</v>
      </c>
      <c r="AB304">
        <f ca="1"/>
        <v>0</v>
      </c>
      <c r="AC304">
        <f ca="1"/>
        <v>0</v>
      </c>
    </row>
    <row r="305" spans="15:29" x14ac:dyDescent="0.25">
      <c r="O305">
        <f ca="1"/>
        <v>0</v>
      </c>
      <c r="P305">
        <f ca="1"/>
        <v>0</v>
      </c>
      <c r="Q305">
        <f ca="1"/>
        <v>0</v>
      </c>
      <c r="R305">
        <f ca="1"/>
        <v>0</v>
      </c>
      <c r="S305">
        <f ca="1"/>
        <v>0</v>
      </c>
      <c r="T305">
        <f ca="1"/>
        <v>0</v>
      </c>
      <c r="U305">
        <f ca="1"/>
        <v>0</v>
      </c>
      <c r="V305">
        <f ca="1"/>
        <v>0</v>
      </c>
      <c r="W305">
        <f ca="1"/>
        <v>0</v>
      </c>
      <c r="X305">
        <f ca="1"/>
        <v>0</v>
      </c>
      <c r="Y305">
        <f ca="1"/>
        <v>0</v>
      </c>
      <c r="Z305">
        <f ca="1"/>
        <v>0</v>
      </c>
      <c r="AA305">
        <f ca="1"/>
        <v>0</v>
      </c>
      <c r="AB305">
        <f ca="1"/>
        <v>0</v>
      </c>
      <c r="AC305">
        <f ca="1"/>
        <v>0</v>
      </c>
    </row>
    <row r="306" spans="15:29" x14ac:dyDescent="0.25">
      <c r="O306">
        <f ca="1"/>
        <v>0</v>
      </c>
      <c r="P306">
        <f ca="1"/>
        <v>0</v>
      </c>
      <c r="Q306">
        <f ca="1"/>
        <v>0</v>
      </c>
      <c r="R306">
        <f ca="1"/>
        <v>0</v>
      </c>
      <c r="S306">
        <f ca="1"/>
        <v>0</v>
      </c>
      <c r="T306">
        <f ca="1"/>
        <v>0</v>
      </c>
      <c r="U306">
        <f ca="1"/>
        <v>0</v>
      </c>
      <c r="V306">
        <f ca="1"/>
        <v>0</v>
      </c>
      <c r="W306">
        <f ca="1"/>
        <v>0</v>
      </c>
      <c r="X306">
        <f ca="1"/>
        <v>0</v>
      </c>
      <c r="Y306">
        <f ca="1"/>
        <v>0</v>
      </c>
      <c r="Z306">
        <f ca="1"/>
        <v>0</v>
      </c>
      <c r="AA306">
        <f ca="1"/>
        <v>0</v>
      </c>
      <c r="AB306">
        <f ca="1"/>
        <v>0</v>
      </c>
      <c r="AC306">
        <f ca="1"/>
        <v>0</v>
      </c>
    </row>
    <row r="307" spans="15:29" x14ac:dyDescent="0.25">
      <c r="O307">
        <f ca="1"/>
        <v>0</v>
      </c>
      <c r="P307">
        <f ca="1"/>
        <v>0</v>
      </c>
      <c r="Q307">
        <f ca="1"/>
        <v>0</v>
      </c>
      <c r="R307">
        <f ca="1"/>
        <v>0</v>
      </c>
      <c r="S307">
        <f ca="1"/>
        <v>0</v>
      </c>
      <c r="T307">
        <f ca="1"/>
        <v>0</v>
      </c>
      <c r="U307">
        <f ca="1"/>
        <v>0</v>
      </c>
      <c r="V307">
        <f ca="1"/>
        <v>0</v>
      </c>
      <c r="W307">
        <f ca="1"/>
        <v>0</v>
      </c>
      <c r="X307">
        <f ca="1"/>
        <v>0</v>
      </c>
      <c r="Y307">
        <f ca="1"/>
        <v>0</v>
      </c>
      <c r="Z307">
        <f ca="1"/>
        <v>0</v>
      </c>
      <c r="AA307">
        <f ca="1"/>
        <v>0</v>
      </c>
      <c r="AB307">
        <f ca="1"/>
        <v>0</v>
      </c>
      <c r="AC307">
        <f ca="1"/>
        <v>0</v>
      </c>
    </row>
    <row r="308" spans="15:29" x14ac:dyDescent="0.25">
      <c r="O308">
        <f ca="1"/>
        <v>0</v>
      </c>
      <c r="P308">
        <f ca="1"/>
        <v>0</v>
      </c>
      <c r="Q308">
        <f ca="1"/>
        <v>0</v>
      </c>
      <c r="R308">
        <f ca="1"/>
        <v>0</v>
      </c>
      <c r="S308">
        <f ca="1"/>
        <v>0</v>
      </c>
      <c r="T308">
        <f ca="1"/>
        <v>0</v>
      </c>
      <c r="U308">
        <f ca="1"/>
        <v>0</v>
      </c>
      <c r="V308">
        <f ca="1"/>
        <v>0</v>
      </c>
      <c r="W308">
        <f ca="1"/>
        <v>0</v>
      </c>
      <c r="X308">
        <f ca="1"/>
        <v>0</v>
      </c>
      <c r="Y308">
        <f ca="1"/>
        <v>0</v>
      </c>
      <c r="Z308">
        <f ca="1"/>
        <v>0</v>
      </c>
      <c r="AA308">
        <f ca="1"/>
        <v>0</v>
      </c>
      <c r="AB308">
        <f ca="1"/>
        <v>0</v>
      </c>
      <c r="AC308">
        <f ca="1"/>
        <v>0</v>
      </c>
    </row>
    <row r="309" spans="15:29" x14ac:dyDescent="0.25">
      <c r="O309">
        <f ca="1"/>
        <v>0</v>
      </c>
      <c r="P309">
        <f ca="1"/>
        <v>0</v>
      </c>
      <c r="Q309">
        <f ca="1"/>
        <v>0</v>
      </c>
      <c r="R309">
        <f ca="1"/>
        <v>0</v>
      </c>
      <c r="S309">
        <f ca="1"/>
        <v>0</v>
      </c>
      <c r="T309">
        <f ca="1"/>
        <v>0</v>
      </c>
      <c r="U309">
        <f ca="1"/>
        <v>0</v>
      </c>
      <c r="V309">
        <f ca="1"/>
        <v>0</v>
      </c>
      <c r="W309">
        <f ca="1"/>
        <v>0</v>
      </c>
      <c r="X309">
        <f ca="1"/>
        <v>0</v>
      </c>
      <c r="Y309">
        <f ca="1"/>
        <v>0</v>
      </c>
      <c r="Z309">
        <f ca="1"/>
        <v>0</v>
      </c>
      <c r="AA309">
        <f ca="1"/>
        <v>0</v>
      </c>
      <c r="AB309">
        <f ca="1"/>
        <v>0</v>
      </c>
      <c r="AC309">
        <f ca="1"/>
        <v>0</v>
      </c>
    </row>
    <row r="310" spans="15:29" x14ac:dyDescent="0.25">
      <c r="O310">
        <f ca="1"/>
        <v>0</v>
      </c>
      <c r="P310">
        <f ca="1"/>
        <v>0</v>
      </c>
      <c r="Q310">
        <f ca="1"/>
        <v>0</v>
      </c>
      <c r="R310">
        <f ca="1"/>
        <v>0</v>
      </c>
      <c r="S310">
        <f ca="1"/>
        <v>0</v>
      </c>
      <c r="T310">
        <f ca="1"/>
        <v>0</v>
      </c>
      <c r="U310">
        <f ca="1"/>
        <v>0</v>
      </c>
      <c r="V310">
        <f ca="1"/>
        <v>0</v>
      </c>
      <c r="W310">
        <f ca="1"/>
        <v>0</v>
      </c>
      <c r="X310">
        <f ca="1"/>
        <v>0</v>
      </c>
      <c r="Y310">
        <f ca="1"/>
        <v>0</v>
      </c>
      <c r="Z310">
        <f ca="1"/>
        <v>0</v>
      </c>
      <c r="AA310">
        <f ca="1"/>
        <v>0</v>
      </c>
      <c r="AB310">
        <f ca="1"/>
        <v>0</v>
      </c>
      <c r="AC310">
        <f ca="1"/>
        <v>0</v>
      </c>
    </row>
    <row r="311" spans="15:29" x14ac:dyDescent="0.25">
      <c r="O311">
        <f ca="1"/>
        <v>0</v>
      </c>
      <c r="P311">
        <f ca="1"/>
        <v>0</v>
      </c>
      <c r="Q311">
        <f ca="1"/>
        <v>0</v>
      </c>
      <c r="R311">
        <f ca="1"/>
        <v>0</v>
      </c>
      <c r="S311">
        <f ca="1"/>
        <v>0</v>
      </c>
      <c r="T311">
        <f ca="1"/>
        <v>0</v>
      </c>
      <c r="U311">
        <f ca="1"/>
        <v>0</v>
      </c>
      <c r="V311">
        <f ca="1"/>
        <v>0</v>
      </c>
      <c r="W311">
        <f ca="1"/>
        <v>0</v>
      </c>
      <c r="X311">
        <f ca="1"/>
        <v>0</v>
      </c>
      <c r="Y311">
        <f ca="1"/>
        <v>0</v>
      </c>
      <c r="Z311">
        <f ca="1"/>
        <v>0</v>
      </c>
      <c r="AA311">
        <f ca="1"/>
        <v>0</v>
      </c>
      <c r="AB311">
        <f ca="1"/>
        <v>0</v>
      </c>
      <c r="AC311">
        <f ca="1"/>
        <v>0</v>
      </c>
    </row>
    <row r="312" spans="15:29" x14ac:dyDescent="0.25">
      <c r="O312">
        <f ca="1"/>
        <v>0</v>
      </c>
      <c r="P312">
        <f ca="1"/>
        <v>0</v>
      </c>
      <c r="Q312">
        <f ca="1"/>
        <v>0</v>
      </c>
      <c r="R312">
        <f ca="1"/>
        <v>0</v>
      </c>
      <c r="S312">
        <f ca="1"/>
        <v>0</v>
      </c>
      <c r="T312">
        <f ca="1"/>
        <v>0</v>
      </c>
      <c r="U312">
        <f ca="1"/>
        <v>0</v>
      </c>
      <c r="V312">
        <f ca="1"/>
        <v>0</v>
      </c>
      <c r="W312">
        <f ca="1"/>
        <v>0</v>
      </c>
      <c r="X312">
        <f ca="1"/>
        <v>0</v>
      </c>
      <c r="Y312">
        <f ca="1"/>
        <v>0</v>
      </c>
      <c r="Z312">
        <f ca="1"/>
        <v>0</v>
      </c>
      <c r="AA312">
        <f ca="1"/>
        <v>0</v>
      </c>
      <c r="AB312">
        <f ca="1"/>
        <v>0</v>
      </c>
      <c r="AC312">
        <f ca="1"/>
        <v>0</v>
      </c>
    </row>
    <row r="313" spans="15:29" x14ac:dyDescent="0.25">
      <c r="O313">
        <f ca="1"/>
        <v>0</v>
      </c>
      <c r="P313">
        <f ca="1"/>
        <v>0</v>
      </c>
      <c r="Q313">
        <f ca="1"/>
        <v>0</v>
      </c>
      <c r="R313">
        <f ca="1"/>
        <v>0</v>
      </c>
      <c r="S313">
        <f ca="1"/>
        <v>0</v>
      </c>
      <c r="T313">
        <f ca="1"/>
        <v>0</v>
      </c>
      <c r="U313">
        <f ca="1"/>
        <v>0</v>
      </c>
      <c r="V313">
        <f ca="1"/>
        <v>0</v>
      </c>
      <c r="W313">
        <f ca="1"/>
        <v>0</v>
      </c>
      <c r="X313">
        <f ca="1"/>
        <v>0</v>
      </c>
      <c r="Y313">
        <f ca="1"/>
        <v>0</v>
      </c>
      <c r="Z313">
        <f ca="1"/>
        <v>0</v>
      </c>
      <c r="AA313">
        <f ca="1"/>
        <v>0</v>
      </c>
      <c r="AB313">
        <f ca="1"/>
        <v>0</v>
      </c>
      <c r="AC313">
        <f ca="1"/>
        <v>0</v>
      </c>
    </row>
    <row r="314" spans="15:29" x14ac:dyDescent="0.25">
      <c r="O314">
        <f ca="1"/>
        <v>0</v>
      </c>
      <c r="P314">
        <f ca="1"/>
        <v>0</v>
      </c>
      <c r="Q314">
        <f ca="1"/>
        <v>0</v>
      </c>
      <c r="R314">
        <f ca="1"/>
        <v>0</v>
      </c>
      <c r="S314">
        <f ca="1"/>
        <v>0</v>
      </c>
      <c r="T314">
        <f ca="1"/>
        <v>0</v>
      </c>
      <c r="U314">
        <f ca="1"/>
        <v>0</v>
      </c>
      <c r="V314">
        <f ca="1"/>
        <v>0</v>
      </c>
      <c r="W314">
        <f ca="1"/>
        <v>0</v>
      </c>
      <c r="X314">
        <f ca="1"/>
        <v>0</v>
      </c>
      <c r="Y314">
        <f ca="1"/>
        <v>0</v>
      </c>
      <c r="Z314">
        <f ca="1"/>
        <v>0</v>
      </c>
      <c r="AA314">
        <f ca="1"/>
        <v>0</v>
      </c>
      <c r="AB314">
        <f ca="1"/>
        <v>0</v>
      </c>
      <c r="AC314">
        <f ca="1"/>
        <v>0</v>
      </c>
    </row>
    <row r="315" spans="15:29" x14ac:dyDescent="0.25">
      <c r="O315">
        <f ca="1"/>
        <v>0</v>
      </c>
      <c r="P315">
        <f ca="1"/>
        <v>0</v>
      </c>
      <c r="Q315">
        <f ca="1"/>
        <v>0</v>
      </c>
      <c r="R315">
        <f ca="1"/>
        <v>0</v>
      </c>
      <c r="S315">
        <f ca="1"/>
        <v>0</v>
      </c>
      <c r="T315">
        <f ca="1"/>
        <v>0</v>
      </c>
      <c r="U315">
        <f ca="1"/>
        <v>0</v>
      </c>
      <c r="V315">
        <f ca="1"/>
        <v>0</v>
      </c>
      <c r="W315">
        <f ca="1"/>
        <v>0</v>
      </c>
      <c r="X315">
        <f ca="1"/>
        <v>0</v>
      </c>
      <c r="Y315">
        <f ca="1"/>
        <v>0</v>
      </c>
      <c r="Z315">
        <f ca="1"/>
        <v>0</v>
      </c>
      <c r="AA315">
        <f ca="1"/>
        <v>0</v>
      </c>
      <c r="AB315">
        <f ca="1"/>
        <v>0</v>
      </c>
      <c r="AC315">
        <f ca="1"/>
        <v>0</v>
      </c>
    </row>
    <row r="316" spans="15:29" x14ac:dyDescent="0.25">
      <c r="O316">
        <f ca="1"/>
        <v>0</v>
      </c>
      <c r="P316">
        <f ca="1"/>
        <v>0</v>
      </c>
      <c r="Q316">
        <f ca="1"/>
        <v>0</v>
      </c>
      <c r="R316">
        <f ca="1"/>
        <v>0</v>
      </c>
      <c r="S316">
        <f ca="1"/>
        <v>0</v>
      </c>
      <c r="T316">
        <f ca="1"/>
        <v>0</v>
      </c>
      <c r="U316">
        <f ca="1"/>
        <v>0</v>
      </c>
      <c r="V316">
        <f ca="1"/>
        <v>0</v>
      </c>
      <c r="W316">
        <f ca="1"/>
        <v>0</v>
      </c>
      <c r="X316">
        <f ca="1"/>
        <v>0</v>
      </c>
      <c r="Y316">
        <f ca="1"/>
        <v>0</v>
      </c>
      <c r="Z316">
        <f ca="1"/>
        <v>0</v>
      </c>
      <c r="AA316">
        <f ca="1"/>
        <v>0</v>
      </c>
      <c r="AB316">
        <f ca="1"/>
        <v>0</v>
      </c>
      <c r="AC316">
        <f ca="1"/>
        <v>0</v>
      </c>
    </row>
    <row r="317" spans="15:29" x14ac:dyDescent="0.25">
      <c r="O317">
        <f ca="1"/>
        <v>0</v>
      </c>
      <c r="P317">
        <f ca="1"/>
        <v>0</v>
      </c>
      <c r="Q317">
        <f ca="1"/>
        <v>0</v>
      </c>
      <c r="R317">
        <f ca="1"/>
        <v>0</v>
      </c>
      <c r="S317">
        <f ca="1"/>
        <v>0</v>
      </c>
      <c r="T317">
        <f ca="1"/>
        <v>0</v>
      </c>
      <c r="U317">
        <f ca="1"/>
        <v>0</v>
      </c>
      <c r="V317">
        <f ca="1"/>
        <v>0</v>
      </c>
      <c r="W317">
        <f ca="1"/>
        <v>0</v>
      </c>
      <c r="X317">
        <f ca="1"/>
        <v>0</v>
      </c>
      <c r="Y317">
        <f ca="1"/>
        <v>0</v>
      </c>
      <c r="Z317">
        <f ca="1"/>
        <v>0</v>
      </c>
      <c r="AA317">
        <f ca="1"/>
        <v>0</v>
      </c>
      <c r="AB317">
        <f ca="1"/>
        <v>0</v>
      </c>
      <c r="AC317">
        <f ca="1"/>
        <v>0</v>
      </c>
    </row>
    <row r="318" spans="15:29" x14ac:dyDescent="0.25">
      <c r="O318">
        <f ca="1"/>
        <v>0</v>
      </c>
      <c r="P318">
        <f ca="1"/>
        <v>0</v>
      </c>
      <c r="Q318">
        <f ca="1"/>
        <v>0</v>
      </c>
      <c r="R318">
        <f ca="1"/>
        <v>0</v>
      </c>
      <c r="S318">
        <f ca="1"/>
        <v>0</v>
      </c>
      <c r="T318">
        <f ca="1"/>
        <v>0</v>
      </c>
      <c r="U318">
        <f ca="1"/>
        <v>0</v>
      </c>
      <c r="V318">
        <f ca="1"/>
        <v>0</v>
      </c>
      <c r="W318">
        <f ca="1"/>
        <v>0</v>
      </c>
      <c r="X318">
        <f ca="1"/>
        <v>0</v>
      </c>
      <c r="Y318">
        <f ca="1"/>
        <v>0</v>
      </c>
      <c r="Z318">
        <f ca="1"/>
        <v>0</v>
      </c>
      <c r="AA318">
        <f ca="1"/>
        <v>0</v>
      </c>
      <c r="AB318">
        <f ca="1"/>
        <v>0</v>
      </c>
      <c r="AC318">
        <f ca="1"/>
        <v>0</v>
      </c>
    </row>
    <row r="319" spans="15:29" x14ac:dyDescent="0.25">
      <c r="O319">
        <f ca="1"/>
        <v>0</v>
      </c>
      <c r="P319">
        <f ca="1"/>
        <v>0</v>
      </c>
      <c r="Q319">
        <f ca="1"/>
        <v>0</v>
      </c>
      <c r="R319">
        <f ca="1"/>
        <v>0</v>
      </c>
      <c r="S319">
        <f ca="1"/>
        <v>0</v>
      </c>
      <c r="T319">
        <f ca="1"/>
        <v>0</v>
      </c>
      <c r="U319">
        <f ca="1"/>
        <v>0</v>
      </c>
      <c r="V319">
        <f ca="1"/>
        <v>0</v>
      </c>
      <c r="W319">
        <f ca="1"/>
        <v>0</v>
      </c>
      <c r="X319">
        <f ca="1"/>
        <v>0</v>
      </c>
      <c r="Y319">
        <f ca="1"/>
        <v>0</v>
      </c>
      <c r="Z319">
        <f ca="1"/>
        <v>0</v>
      </c>
      <c r="AA319">
        <f ca="1"/>
        <v>0</v>
      </c>
      <c r="AB319">
        <f ca="1"/>
        <v>0</v>
      </c>
      <c r="AC319">
        <f ca="1"/>
        <v>0</v>
      </c>
    </row>
    <row r="320" spans="15:29" x14ac:dyDescent="0.25">
      <c r="O320">
        <f ca="1"/>
        <v>0</v>
      </c>
      <c r="P320">
        <f ca="1"/>
        <v>0</v>
      </c>
      <c r="Q320">
        <f ca="1"/>
        <v>0</v>
      </c>
      <c r="R320">
        <f ca="1"/>
        <v>0</v>
      </c>
      <c r="S320">
        <f ca="1"/>
        <v>0</v>
      </c>
      <c r="T320">
        <f ca="1"/>
        <v>0</v>
      </c>
      <c r="U320">
        <f ca="1"/>
        <v>0</v>
      </c>
      <c r="V320">
        <f ca="1"/>
        <v>0</v>
      </c>
      <c r="W320">
        <f ca="1"/>
        <v>0</v>
      </c>
      <c r="X320">
        <f ca="1"/>
        <v>0</v>
      </c>
      <c r="Y320">
        <f ca="1"/>
        <v>0</v>
      </c>
      <c r="Z320">
        <f ca="1"/>
        <v>0</v>
      </c>
      <c r="AA320">
        <f ca="1"/>
        <v>0</v>
      </c>
      <c r="AB320">
        <f ca="1"/>
        <v>0</v>
      </c>
      <c r="AC320">
        <f ca="1"/>
        <v>0</v>
      </c>
    </row>
    <row r="321" spans="15:29" x14ac:dyDescent="0.25">
      <c r="O321">
        <f ca="1"/>
        <v>0</v>
      </c>
      <c r="P321">
        <f ca="1"/>
        <v>0</v>
      </c>
      <c r="Q321">
        <f ca="1"/>
        <v>0</v>
      </c>
      <c r="R321">
        <f ca="1"/>
        <v>0</v>
      </c>
      <c r="S321">
        <f ca="1"/>
        <v>0</v>
      </c>
      <c r="T321">
        <f ca="1"/>
        <v>0</v>
      </c>
      <c r="U321">
        <f ca="1"/>
        <v>0</v>
      </c>
      <c r="V321">
        <f ca="1"/>
        <v>0</v>
      </c>
      <c r="W321">
        <f ca="1"/>
        <v>0</v>
      </c>
      <c r="X321">
        <f ca="1"/>
        <v>0</v>
      </c>
      <c r="Y321">
        <f ca="1"/>
        <v>0</v>
      </c>
      <c r="Z321">
        <f ca="1"/>
        <v>0</v>
      </c>
      <c r="AA321">
        <f ca="1"/>
        <v>0</v>
      </c>
      <c r="AB321">
        <f ca="1"/>
        <v>0</v>
      </c>
      <c r="AC321">
        <f ca="1"/>
        <v>0</v>
      </c>
    </row>
    <row r="322" spans="15:29" x14ac:dyDescent="0.25">
      <c r="O322">
        <f ca="1"/>
        <v>0</v>
      </c>
      <c r="P322">
        <f ca="1"/>
        <v>0</v>
      </c>
      <c r="Q322">
        <f ca="1"/>
        <v>0</v>
      </c>
      <c r="R322">
        <f ca="1"/>
        <v>0</v>
      </c>
      <c r="S322">
        <f ca="1"/>
        <v>0</v>
      </c>
      <c r="T322">
        <f ca="1"/>
        <v>0</v>
      </c>
      <c r="U322">
        <f ca="1"/>
        <v>0</v>
      </c>
      <c r="V322">
        <f ca="1"/>
        <v>0</v>
      </c>
      <c r="W322">
        <f ca="1"/>
        <v>0</v>
      </c>
      <c r="X322">
        <f ca="1"/>
        <v>0</v>
      </c>
      <c r="Y322">
        <f ca="1"/>
        <v>0</v>
      </c>
      <c r="Z322">
        <f ca="1"/>
        <v>0</v>
      </c>
      <c r="AA322">
        <f ca="1"/>
        <v>0</v>
      </c>
      <c r="AB322">
        <f ca="1"/>
        <v>0</v>
      </c>
      <c r="AC322">
        <f ca="1"/>
        <v>0</v>
      </c>
    </row>
    <row r="323" spans="15:29" x14ac:dyDescent="0.25">
      <c r="O323">
        <f ca="1"/>
        <v>0</v>
      </c>
      <c r="P323">
        <f ca="1"/>
        <v>0</v>
      </c>
      <c r="Q323">
        <f ca="1"/>
        <v>0</v>
      </c>
      <c r="R323">
        <f ca="1"/>
        <v>0</v>
      </c>
      <c r="S323">
        <f ca="1"/>
        <v>0</v>
      </c>
      <c r="T323">
        <f ca="1"/>
        <v>0</v>
      </c>
      <c r="U323">
        <f ca="1"/>
        <v>0</v>
      </c>
      <c r="V323">
        <f ca="1"/>
        <v>0</v>
      </c>
      <c r="W323">
        <f ca="1"/>
        <v>0</v>
      </c>
      <c r="X323">
        <f ca="1"/>
        <v>0</v>
      </c>
      <c r="Y323">
        <f ca="1"/>
        <v>0</v>
      </c>
      <c r="Z323">
        <f ca="1"/>
        <v>0</v>
      </c>
      <c r="AA323">
        <f ca="1"/>
        <v>0</v>
      </c>
      <c r="AB323">
        <f ca="1"/>
        <v>0</v>
      </c>
      <c r="AC323">
        <f ca="1"/>
        <v>0</v>
      </c>
    </row>
    <row r="324" spans="15:29" x14ac:dyDescent="0.25">
      <c r="O324">
        <f ca="1"/>
        <v>0</v>
      </c>
      <c r="P324">
        <f ca="1"/>
        <v>0</v>
      </c>
      <c r="Q324">
        <f ca="1"/>
        <v>0</v>
      </c>
      <c r="R324">
        <f ca="1"/>
        <v>0</v>
      </c>
      <c r="S324">
        <f ca="1"/>
        <v>0</v>
      </c>
      <c r="T324">
        <f ca="1"/>
        <v>0</v>
      </c>
      <c r="U324">
        <f ca="1"/>
        <v>0</v>
      </c>
      <c r="V324">
        <f ca="1"/>
        <v>0</v>
      </c>
      <c r="W324">
        <f ca="1"/>
        <v>0</v>
      </c>
      <c r="X324">
        <f ca="1"/>
        <v>0</v>
      </c>
      <c r="Y324">
        <f ca="1"/>
        <v>0</v>
      </c>
      <c r="Z324">
        <f ca="1"/>
        <v>0</v>
      </c>
      <c r="AA324">
        <f ca="1"/>
        <v>0</v>
      </c>
      <c r="AB324">
        <f ca="1"/>
        <v>0</v>
      </c>
      <c r="AC324">
        <f ca="1"/>
        <v>0</v>
      </c>
    </row>
    <row r="325" spans="15:29" x14ac:dyDescent="0.25">
      <c r="O325">
        <f ca="1"/>
        <v>0</v>
      </c>
      <c r="P325">
        <f ca="1"/>
        <v>0</v>
      </c>
      <c r="Q325">
        <f ca="1"/>
        <v>0</v>
      </c>
      <c r="R325">
        <f ca="1"/>
        <v>0</v>
      </c>
      <c r="S325">
        <f ca="1"/>
        <v>0</v>
      </c>
      <c r="T325">
        <f ca="1"/>
        <v>0</v>
      </c>
      <c r="U325">
        <f ca="1"/>
        <v>0</v>
      </c>
      <c r="V325">
        <f ca="1"/>
        <v>0</v>
      </c>
      <c r="W325">
        <f ca="1"/>
        <v>0</v>
      </c>
      <c r="X325">
        <f ca="1"/>
        <v>0</v>
      </c>
      <c r="Y325">
        <f ca="1"/>
        <v>0</v>
      </c>
      <c r="Z325">
        <f ca="1"/>
        <v>0</v>
      </c>
      <c r="AA325">
        <f ca="1"/>
        <v>0</v>
      </c>
      <c r="AB325">
        <f ca="1"/>
        <v>0</v>
      </c>
      <c r="AC325">
        <f ca="1"/>
        <v>0</v>
      </c>
    </row>
    <row r="326" spans="15:29" x14ac:dyDescent="0.25">
      <c r="O326">
        <f ca="1"/>
        <v>0</v>
      </c>
      <c r="P326">
        <f ca="1"/>
        <v>0</v>
      </c>
      <c r="Q326">
        <f ca="1"/>
        <v>0</v>
      </c>
      <c r="R326">
        <f ca="1"/>
        <v>0</v>
      </c>
      <c r="S326">
        <f ca="1"/>
        <v>0</v>
      </c>
      <c r="T326">
        <f ca="1"/>
        <v>0</v>
      </c>
      <c r="U326">
        <f ca="1"/>
        <v>0</v>
      </c>
      <c r="V326">
        <f ca="1"/>
        <v>0</v>
      </c>
      <c r="W326">
        <f ca="1"/>
        <v>0</v>
      </c>
      <c r="X326">
        <f ca="1"/>
        <v>0</v>
      </c>
      <c r="Y326">
        <f ca="1"/>
        <v>0</v>
      </c>
      <c r="Z326">
        <f ca="1"/>
        <v>0</v>
      </c>
      <c r="AA326">
        <f ca="1"/>
        <v>0</v>
      </c>
      <c r="AB326">
        <f ca="1"/>
        <v>0</v>
      </c>
      <c r="AC326">
        <f ca="1"/>
        <v>0</v>
      </c>
    </row>
    <row r="327" spans="15:29" x14ac:dyDescent="0.25">
      <c r="O327">
        <f ca="1"/>
        <v>0</v>
      </c>
      <c r="P327">
        <f ca="1"/>
        <v>0</v>
      </c>
      <c r="Q327">
        <f ca="1"/>
        <v>0</v>
      </c>
      <c r="R327">
        <f ca="1"/>
        <v>0</v>
      </c>
      <c r="S327">
        <f ca="1"/>
        <v>0</v>
      </c>
      <c r="T327">
        <f ca="1"/>
        <v>0</v>
      </c>
      <c r="U327">
        <f ca="1"/>
        <v>0</v>
      </c>
      <c r="V327">
        <f ca="1"/>
        <v>0</v>
      </c>
      <c r="W327">
        <f ca="1"/>
        <v>0</v>
      </c>
      <c r="X327">
        <f ca="1"/>
        <v>0</v>
      </c>
      <c r="Y327">
        <f ca="1"/>
        <v>0</v>
      </c>
      <c r="Z327">
        <f ca="1"/>
        <v>0</v>
      </c>
      <c r="AA327">
        <f ca="1"/>
        <v>0</v>
      </c>
      <c r="AB327">
        <f ca="1"/>
        <v>0</v>
      </c>
      <c r="AC327">
        <f ca="1"/>
        <v>0</v>
      </c>
    </row>
    <row r="328" spans="15:29" x14ac:dyDescent="0.25">
      <c r="O328">
        <f ca="1"/>
        <v>0</v>
      </c>
      <c r="P328">
        <f ca="1"/>
        <v>0</v>
      </c>
      <c r="Q328">
        <f ca="1"/>
        <v>0</v>
      </c>
      <c r="R328">
        <f ca="1"/>
        <v>0</v>
      </c>
      <c r="S328">
        <f ca="1"/>
        <v>0</v>
      </c>
      <c r="T328">
        <f ca="1"/>
        <v>0</v>
      </c>
      <c r="U328">
        <f ca="1"/>
        <v>0</v>
      </c>
      <c r="V328">
        <f ca="1"/>
        <v>0</v>
      </c>
      <c r="W328">
        <f ca="1"/>
        <v>0</v>
      </c>
      <c r="X328">
        <f ca="1"/>
        <v>0</v>
      </c>
      <c r="Y328">
        <f ca="1"/>
        <v>0</v>
      </c>
      <c r="Z328">
        <f ca="1"/>
        <v>0</v>
      </c>
      <c r="AA328">
        <f ca="1"/>
        <v>0</v>
      </c>
      <c r="AB328">
        <f ca="1"/>
        <v>0</v>
      </c>
      <c r="AC328">
        <f ca="1"/>
        <v>0</v>
      </c>
    </row>
    <row r="329" spans="15:29" x14ac:dyDescent="0.25">
      <c r="O329">
        <f ca="1"/>
        <v>0</v>
      </c>
      <c r="P329">
        <f ca="1"/>
        <v>0</v>
      </c>
      <c r="Q329">
        <f ca="1"/>
        <v>0</v>
      </c>
      <c r="R329">
        <f ca="1"/>
        <v>0</v>
      </c>
      <c r="S329">
        <f ca="1"/>
        <v>0</v>
      </c>
      <c r="T329">
        <f ca="1"/>
        <v>0</v>
      </c>
      <c r="U329">
        <f ca="1"/>
        <v>0</v>
      </c>
      <c r="V329">
        <f ca="1"/>
        <v>0</v>
      </c>
      <c r="W329">
        <f ca="1"/>
        <v>0</v>
      </c>
      <c r="X329">
        <f ca="1"/>
        <v>0</v>
      </c>
      <c r="Y329">
        <f ca="1"/>
        <v>0</v>
      </c>
      <c r="Z329">
        <f ca="1"/>
        <v>0</v>
      </c>
      <c r="AA329">
        <f ca="1"/>
        <v>0</v>
      </c>
      <c r="AB329">
        <f ca="1"/>
        <v>0</v>
      </c>
      <c r="AC329">
        <f ca="1"/>
        <v>0</v>
      </c>
    </row>
    <row r="330" spans="15:29" x14ac:dyDescent="0.25">
      <c r="O330">
        <f ca="1"/>
        <v>0</v>
      </c>
      <c r="P330">
        <f ca="1"/>
        <v>0</v>
      </c>
      <c r="Q330">
        <f ca="1"/>
        <v>0</v>
      </c>
      <c r="R330">
        <f ca="1"/>
        <v>0</v>
      </c>
      <c r="S330">
        <f ca="1"/>
        <v>0</v>
      </c>
      <c r="T330">
        <f ca="1"/>
        <v>0</v>
      </c>
      <c r="U330">
        <f ca="1"/>
        <v>0</v>
      </c>
      <c r="V330">
        <f ca="1"/>
        <v>0</v>
      </c>
      <c r="W330">
        <f ca="1"/>
        <v>0</v>
      </c>
      <c r="X330">
        <f ca="1"/>
        <v>0</v>
      </c>
      <c r="Y330">
        <f ca="1"/>
        <v>0</v>
      </c>
      <c r="Z330">
        <f ca="1"/>
        <v>0</v>
      </c>
      <c r="AA330">
        <f ca="1"/>
        <v>0</v>
      </c>
      <c r="AB330">
        <f ca="1"/>
        <v>0</v>
      </c>
      <c r="AC330">
        <f ca="1"/>
        <v>0</v>
      </c>
    </row>
    <row r="331" spans="15:29" x14ac:dyDescent="0.25">
      <c r="O331">
        <f ca="1"/>
        <v>0</v>
      </c>
      <c r="P331">
        <f ca="1"/>
        <v>0</v>
      </c>
      <c r="Q331">
        <f ca="1"/>
        <v>0</v>
      </c>
      <c r="R331">
        <f ca="1"/>
        <v>0</v>
      </c>
      <c r="S331">
        <f ca="1"/>
        <v>0</v>
      </c>
      <c r="T331">
        <f ca="1"/>
        <v>0</v>
      </c>
      <c r="U331">
        <f ca="1"/>
        <v>0</v>
      </c>
      <c r="V331">
        <f ca="1"/>
        <v>0</v>
      </c>
      <c r="W331">
        <f ca="1"/>
        <v>0</v>
      </c>
      <c r="X331">
        <f ca="1"/>
        <v>0</v>
      </c>
      <c r="Y331">
        <f ca="1"/>
        <v>0</v>
      </c>
      <c r="Z331">
        <f ca="1"/>
        <v>0</v>
      </c>
      <c r="AA331">
        <f ca="1"/>
        <v>0</v>
      </c>
      <c r="AB331">
        <f ca="1"/>
        <v>0</v>
      </c>
      <c r="AC331">
        <f ca="1"/>
        <v>0</v>
      </c>
    </row>
    <row r="332" spans="15:29" x14ac:dyDescent="0.25">
      <c r="O332">
        <f ca="1"/>
        <v>0</v>
      </c>
      <c r="P332">
        <f ca="1"/>
        <v>0</v>
      </c>
      <c r="Q332">
        <f ca="1"/>
        <v>0</v>
      </c>
      <c r="R332">
        <f ca="1"/>
        <v>0</v>
      </c>
      <c r="S332">
        <f ca="1"/>
        <v>0</v>
      </c>
      <c r="T332">
        <f ca="1"/>
        <v>0</v>
      </c>
      <c r="U332">
        <f ca="1"/>
        <v>0</v>
      </c>
      <c r="V332">
        <f ca="1"/>
        <v>0</v>
      </c>
      <c r="W332">
        <f ca="1"/>
        <v>0</v>
      </c>
      <c r="X332">
        <f ca="1"/>
        <v>0</v>
      </c>
      <c r="Y332">
        <f ca="1"/>
        <v>0</v>
      </c>
      <c r="Z332">
        <f ca="1"/>
        <v>0</v>
      </c>
      <c r="AA332">
        <f ca="1"/>
        <v>0</v>
      </c>
      <c r="AB332">
        <f ca="1"/>
        <v>0</v>
      </c>
      <c r="AC332">
        <f ca="1"/>
        <v>0</v>
      </c>
    </row>
    <row r="333" spans="15:29" x14ac:dyDescent="0.25">
      <c r="O333">
        <f ca="1"/>
        <v>0</v>
      </c>
      <c r="P333">
        <f ca="1"/>
        <v>0</v>
      </c>
      <c r="Q333">
        <f ca="1"/>
        <v>0</v>
      </c>
      <c r="R333">
        <f ca="1"/>
        <v>0</v>
      </c>
      <c r="S333">
        <f ca="1"/>
        <v>0</v>
      </c>
      <c r="T333">
        <f ca="1"/>
        <v>0</v>
      </c>
      <c r="U333">
        <f ca="1"/>
        <v>0</v>
      </c>
      <c r="V333">
        <f ca="1"/>
        <v>0</v>
      </c>
      <c r="W333">
        <f ca="1"/>
        <v>0</v>
      </c>
      <c r="X333">
        <f ca="1"/>
        <v>0</v>
      </c>
      <c r="Y333">
        <f ca="1"/>
        <v>0</v>
      </c>
      <c r="Z333">
        <f ca="1"/>
        <v>0</v>
      </c>
      <c r="AA333">
        <f ca="1"/>
        <v>0</v>
      </c>
      <c r="AB333">
        <f ca="1"/>
        <v>0</v>
      </c>
      <c r="AC333">
        <f ca="1"/>
        <v>0</v>
      </c>
    </row>
    <row r="334" spans="15:29" x14ac:dyDescent="0.25">
      <c r="O334">
        <f ca="1"/>
        <v>0</v>
      </c>
      <c r="P334">
        <f ca="1"/>
        <v>0</v>
      </c>
      <c r="Q334">
        <f ca="1"/>
        <v>0</v>
      </c>
      <c r="R334">
        <f ca="1"/>
        <v>0</v>
      </c>
      <c r="S334">
        <f ca="1"/>
        <v>0</v>
      </c>
      <c r="T334">
        <f ca="1"/>
        <v>0</v>
      </c>
      <c r="U334">
        <f ca="1"/>
        <v>0</v>
      </c>
      <c r="V334">
        <f ca="1"/>
        <v>0</v>
      </c>
      <c r="W334">
        <f ca="1"/>
        <v>0</v>
      </c>
      <c r="X334">
        <f ca="1"/>
        <v>0</v>
      </c>
      <c r="Y334">
        <f ca="1"/>
        <v>0</v>
      </c>
      <c r="Z334">
        <f ca="1"/>
        <v>0</v>
      </c>
      <c r="AA334">
        <f ca="1"/>
        <v>0</v>
      </c>
      <c r="AB334">
        <f ca="1"/>
        <v>0</v>
      </c>
      <c r="AC334">
        <f ca="1"/>
        <v>0</v>
      </c>
    </row>
    <row r="335" spans="15:29" x14ac:dyDescent="0.25">
      <c r="O335">
        <f ca="1"/>
        <v>0</v>
      </c>
      <c r="P335">
        <f ca="1"/>
        <v>0</v>
      </c>
      <c r="Q335">
        <f ca="1"/>
        <v>0</v>
      </c>
      <c r="R335">
        <f ca="1"/>
        <v>0</v>
      </c>
      <c r="S335">
        <f ca="1"/>
        <v>0</v>
      </c>
      <c r="T335">
        <f ca="1"/>
        <v>0</v>
      </c>
      <c r="U335">
        <f ca="1"/>
        <v>0</v>
      </c>
      <c r="V335">
        <f ca="1"/>
        <v>0</v>
      </c>
      <c r="W335">
        <f ca="1"/>
        <v>0</v>
      </c>
      <c r="X335">
        <f ca="1"/>
        <v>0</v>
      </c>
      <c r="Y335">
        <f ca="1"/>
        <v>0</v>
      </c>
      <c r="Z335">
        <f ca="1"/>
        <v>0</v>
      </c>
      <c r="AA335">
        <f ca="1"/>
        <v>0</v>
      </c>
      <c r="AB335">
        <f ca="1"/>
        <v>0</v>
      </c>
      <c r="AC335">
        <f ca="1"/>
        <v>0</v>
      </c>
    </row>
    <row r="336" spans="15:29" x14ac:dyDescent="0.25">
      <c r="O336">
        <f ca="1"/>
        <v>0</v>
      </c>
      <c r="P336">
        <f ca="1"/>
        <v>0</v>
      </c>
      <c r="Q336">
        <f ca="1"/>
        <v>0</v>
      </c>
      <c r="R336">
        <f ca="1"/>
        <v>0</v>
      </c>
      <c r="S336">
        <f ca="1"/>
        <v>0</v>
      </c>
      <c r="T336">
        <f ca="1"/>
        <v>0</v>
      </c>
      <c r="U336">
        <f ca="1"/>
        <v>0</v>
      </c>
      <c r="V336">
        <f ca="1"/>
        <v>0</v>
      </c>
      <c r="W336">
        <f ca="1"/>
        <v>0</v>
      </c>
      <c r="X336">
        <f ca="1"/>
        <v>0</v>
      </c>
      <c r="Y336">
        <f ca="1"/>
        <v>0</v>
      </c>
      <c r="Z336">
        <f ca="1"/>
        <v>0</v>
      </c>
      <c r="AA336">
        <f ca="1"/>
        <v>0</v>
      </c>
      <c r="AB336">
        <f ca="1"/>
        <v>0</v>
      </c>
      <c r="AC336">
        <f ca="1"/>
        <v>0</v>
      </c>
    </row>
    <row r="337" spans="15:29" x14ac:dyDescent="0.25">
      <c r="O337">
        <f ca="1"/>
        <v>0</v>
      </c>
      <c r="P337">
        <f ca="1"/>
        <v>0</v>
      </c>
      <c r="Q337">
        <f ca="1"/>
        <v>0</v>
      </c>
      <c r="R337">
        <f ca="1"/>
        <v>0</v>
      </c>
      <c r="S337">
        <f ca="1"/>
        <v>0</v>
      </c>
      <c r="T337">
        <f ca="1"/>
        <v>0</v>
      </c>
      <c r="U337">
        <f ca="1"/>
        <v>0</v>
      </c>
      <c r="V337">
        <f ca="1"/>
        <v>0</v>
      </c>
      <c r="W337">
        <f ca="1"/>
        <v>0</v>
      </c>
      <c r="X337">
        <f ca="1"/>
        <v>0</v>
      </c>
      <c r="Y337">
        <f ca="1"/>
        <v>0</v>
      </c>
      <c r="Z337">
        <f ca="1"/>
        <v>0</v>
      </c>
      <c r="AA337">
        <f ca="1"/>
        <v>0</v>
      </c>
      <c r="AB337">
        <f ca="1"/>
        <v>0</v>
      </c>
      <c r="AC337">
        <f ca="1"/>
        <v>0</v>
      </c>
    </row>
    <row r="338" spans="15:29" x14ac:dyDescent="0.25">
      <c r="O338">
        <f ca="1"/>
        <v>0</v>
      </c>
      <c r="P338">
        <f ca="1"/>
        <v>0</v>
      </c>
      <c r="Q338">
        <f ca="1"/>
        <v>0</v>
      </c>
      <c r="R338">
        <f ca="1"/>
        <v>0</v>
      </c>
      <c r="S338">
        <f ca="1"/>
        <v>0</v>
      </c>
      <c r="T338">
        <f ca="1"/>
        <v>0</v>
      </c>
      <c r="U338">
        <f ca="1"/>
        <v>0</v>
      </c>
      <c r="V338">
        <f ca="1"/>
        <v>0</v>
      </c>
      <c r="W338">
        <f ca="1"/>
        <v>0</v>
      </c>
      <c r="X338">
        <f ca="1"/>
        <v>0</v>
      </c>
      <c r="Y338">
        <f ca="1"/>
        <v>0</v>
      </c>
      <c r="Z338">
        <f ca="1"/>
        <v>0</v>
      </c>
      <c r="AA338">
        <f ca="1"/>
        <v>0</v>
      </c>
      <c r="AB338">
        <f ca="1"/>
        <v>0</v>
      </c>
      <c r="AC338">
        <f ca="1"/>
        <v>0</v>
      </c>
    </row>
    <row r="339" spans="15:29" x14ac:dyDescent="0.25">
      <c r="O339">
        <f ca="1"/>
        <v>0</v>
      </c>
      <c r="P339">
        <f ca="1"/>
        <v>0</v>
      </c>
      <c r="Q339">
        <f ca="1"/>
        <v>0</v>
      </c>
      <c r="R339">
        <f ca="1"/>
        <v>0</v>
      </c>
      <c r="S339">
        <f ca="1"/>
        <v>0</v>
      </c>
      <c r="T339">
        <f ca="1"/>
        <v>0</v>
      </c>
      <c r="U339">
        <f ca="1"/>
        <v>0</v>
      </c>
      <c r="V339">
        <f ca="1"/>
        <v>0</v>
      </c>
      <c r="W339">
        <f ca="1"/>
        <v>0</v>
      </c>
      <c r="X339">
        <f ca="1"/>
        <v>0</v>
      </c>
      <c r="Y339">
        <f ca="1"/>
        <v>0</v>
      </c>
      <c r="Z339">
        <f ca="1"/>
        <v>0</v>
      </c>
      <c r="AA339">
        <f ca="1"/>
        <v>0</v>
      </c>
      <c r="AB339">
        <f ca="1"/>
        <v>0</v>
      </c>
      <c r="AC339">
        <f ca="1"/>
        <v>0</v>
      </c>
    </row>
    <row r="340" spans="15:29" x14ac:dyDescent="0.25">
      <c r="O340">
        <f ca="1"/>
        <v>0</v>
      </c>
      <c r="P340">
        <f ca="1"/>
        <v>0</v>
      </c>
      <c r="Q340">
        <f ca="1"/>
        <v>0</v>
      </c>
      <c r="R340">
        <f ca="1"/>
        <v>0</v>
      </c>
      <c r="S340">
        <f ca="1"/>
        <v>0</v>
      </c>
      <c r="T340">
        <f ca="1"/>
        <v>0</v>
      </c>
      <c r="U340">
        <f ca="1"/>
        <v>0</v>
      </c>
      <c r="V340">
        <f ca="1"/>
        <v>0</v>
      </c>
      <c r="W340">
        <f ca="1"/>
        <v>0</v>
      </c>
      <c r="X340">
        <f ca="1"/>
        <v>0</v>
      </c>
      <c r="Y340">
        <f ca="1"/>
        <v>0</v>
      </c>
      <c r="Z340">
        <f ca="1"/>
        <v>0</v>
      </c>
      <c r="AA340">
        <f ca="1"/>
        <v>0</v>
      </c>
      <c r="AB340">
        <f ca="1"/>
        <v>0</v>
      </c>
      <c r="AC340">
        <f ca="1"/>
        <v>0</v>
      </c>
    </row>
    <row r="341" spans="15:29" x14ac:dyDescent="0.25">
      <c r="O341">
        <f ca="1"/>
        <v>0</v>
      </c>
      <c r="P341">
        <f ca="1"/>
        <v>0</v>
      </c>
      <c r="Q341">
        <f ca="1"/>
        <v>0</v>
      </c>
      <c r="R341">
        <f ca="1"/>
        <v>0</v>
      </c>
      <c r="S341">
        <f ca="1"/>
        <v>0</v>
      </c>
      <c r="T341">
        <f ca="1"/>
        <v>0</v>
      </c>
      <c r="U341">
        <f ca="1"/>
        <v>0</v>
      </c>
      <c r="V341">
        <f ca="1"/>
        <v>0</v>
      </c>
      <c r="W341">
        <f ca="1"/>
        <v>0</v>
      </c>
      <c r="X341">
        <f ca="1"/>
        <v>0</v>
      </c>
      <c r="Y341">
        <f ca="1"/>
        <v>0</v>
      </c>
      <c r="Z341">
        <f ca="1"/>
        <v>0</v>
      </c>
      <c r="AA341">
        <f ca="1"/>
        <v>0</v>
      </c>
      <c r="AB341">
        <f ca="1"/>
        <v>0</v>
      </c>
      <c r="AC341">
        <f ca="1"/>
        <v>0</v>
      </c>
    </row>
    <row r="342" spans="15:29" x14ac:dyDescent="0.25">
      <c r="O342">
        <f ca="1"/>
        <v>0</v>
      </c>
      <c r="P342">
        <f ca="1"/>
        <v>0</v>
      </c>
      <c r="Q342">
        <f ca="1"/>
        <v>0</v>
      </c>
      <c r="R342">
        <f ca="1"/>
        <v>0</v>
      </c>
      <c r="S342">
        <f ca="1"/>
        <v>0</v>
      </c>
      <c r="T342">
        <f ca="1"/>
        <v>0</v>
      </c>
      <c r="U342">
        <f ca="1"/>
        <v>0</v>
      </c>
      <c r="V342">
        <f ca="1"/>
        <v>0</v>
      </c>
      <c r="W342">
        <f ca="1"/>
        <v>0</v>
      </c>
      <c r="X342">
        <f ca="1"/>
        <v>0</v>
      </c>
      <c r="Y342">
        <f ca="1"/>
        <v>0</v>
      </c>
      <c r="Z342">
        <f ca="1"/>
        <v>0</v>
      </c>
      <c r="AA342">
        <f ca="1"/>
        <v>0</v>
      </c>
      <c r="AB342">
        <f ca="1"/>
        <v>0</v>
      </c>
      <c r="AC342">
        <f ca="1"/>
        <v>0</v>
      </c>
    </row>
    <row r="343" spans="15:29" x14ac:dyDescent="0.25">
      <c r="O343">
        <f ca="1"/>
        <v>0</v>
      </c>
      <c r="P343">
        <f ca="1"/>
        <v>0</v>
      </c>
      <c r="Q343">
        <f ca="1"/>
        <v>0</v>
      </c>
      <c r="R343">
        <f ca="1"/>
        <v>0</v>
      </c>
      <c r="S343">
        <f ca="1"/>
        <v>0</v>
      </c>
      <c r="T343">
        <f ca="1"/>
        <v>0</v>
      </c>
      <c r="U343">
        <f ca="1"/>
        <v>0</v>
      </c>
      <c r="V343">
        <f ca="1"/>
        <v>0</v>
      </c>
      <c r="W343">
        <f ca="1"/>
        <v>0</v>
      </c>
      <c r="X343">
        <f ca="1"/>
        <v>0</v>
      </c>
      <c r="Y343">
        <f ca="1"/>
        <v>0</v>
      </c>
      <c r="Z343">
        <f ca="1"/>
        <v>0</v>
      </c>
      <c r="AA343">
        <f ca="1"/>
        <v>0</v>
      </c>
      <c r="AB343">
        <f ca="1"/>
        <v>0</v>
      </c>
      <c r="AC343">
        <f ca="1"/>
        <v>0</v>
      </c>
    </row>
    <row r="344" spans="15:29" x14ac:dyDescent="0.25">
      <c r="O344">
        <f ca="1"/>
        <v>0</v>
      </c>
      <c r="P344">
        <f ca="1"/>
        <v>0</v>
      </c>
      <c r="Q344">
        <f ca="1"/>
        <v>0</v>
      </c>
      <c r="R344">
        <f ca="1"/>
        <v>0</v>
      </c>
      <c r="S344">
        <f ca="1"/>
        <v>0</v>
      </c>
      <c r="T344">
        <f ca="1"/>
        <v>0</v>
      </c>
      <c r="U344">
        <f ca="1"/>
        <v>0</v>
      </c>
      <c r="V344">
        <f ca="1"/>
        <v>0</v>
      </c>
      <c r="W344">
        <f ca="1"/>
        <v>0</v>
      </c>
      <c r="X344">
        <f ca="1"/>
        <v>0</v>
      </c>
      <c r="Y344">
        <f ca="1"/>
        <v>0</v>
      </c>
      <c r="Z344">
        <f ca="1"/>
        <v>0</v>
      </c>
      <c r="AA344">
        <f ca="1"/>
        <v>0</v>
      </c>
      <c r="AB344">
        <f ca="1"/>
        <v>0</v>
      </c>
      <c r="AC344">
        <f ca="1"/>
        <v>0</v>
      </c>
    </row>
    <row r="345" spans="15:29" x14ac:dyDescent="0.25">
      <c r="O345">
        <f ca="1"/>
        <v>0</v>
      </c>
      <c r="P345">
        <f ca="1"/>
        <v>0</v>
      </c>
      <c r="Q345">
        <f ca="1"/>
        <v>0</v>
      </c>
      <c r="R345">
        <f ca="1"/>
        <v>0</v>
      </c>
      <c r="S345">
        <f ca="1"/>
        <v>0</v>
      </c>
      <c r="T345">
        <f ca="1"/>
        <v>0</v>
      </c>
      <c r="U345">
        <f ca="1"/>
        <v>0</v>
      </c>
      <c r="V345">
        <f ca="1"/>
        <v>0</v>
      </c>
      <c r="W345">
        <f ca="1"/>
        <v>0</v>
      </c>
      <c r="X345">
        <f ca="1"/>
        <v>0</v>
      </c>
      <c r="Y345">
        <f ca="1"/>
        <v>0</v>
      </c>
      <c r="Z345">
        <f ca="1"/>
        <v>0</v>
      </c>
      <c r="AA345">
        <f ca="1"/>
        <v>0</v>
      </c>
      <c r="AB345">
        <f ca="1"/>
        <v>0</v>
      </c>
      <c r="AC345">
        <f ca="1"/>
        <v>0</v>
      </c>
    </row>
    <row r="346" spans="15:29" x14ac:dyDescent="0.25">
      <c r="O346">
        <f ca="1"/>
        <v>0</v>
      </c>
      <c r="P346">
        <f ca="1"/>
        <v>0</v>
      </c>
      <c r="Q346">
        <f ca="1"/>
        <v>0</v>
      </c>
      <c r="R346">
        <f ca="1"/>
        <v>0</v>
      </c>
      <c r="S346">
        <f ca="1"/>
        <v>0</v>
      </c>
      <c r="T346">
        <f ca="1"/>
        <v>0</v>
      </c>
      <c r="U346">
        <f ca="1"/>
        <v>0</v>
      </c>
      <c r="V346">
        <f ca="1"/>
        <v>0</v>
      </c>
      <c r="W346">
        <f ca="1"/>
        <v>0</v>
      </c>
      <c r="X346">
        <f ca="1"/>
        <v>0</v>
      </c>
      <c r="Y346">
        <f ca="1"/>
        <v>0</v>
      </c>
      <c r="Z346">
        <f ca="1"/>
        <v>0</v>
      </c>
      <c r="AA346">
        <f ca="1"/>
        <v>0</v>
      </c>
      <c r="AB346">
        <f ca="1"/>
        <v>0</v>
      </c>
      <c r="AC346">
        <f ca="1"/>
        <v>0</v>
      </c>
    </row>
    <row r="347" spans="15:29" x14ac:dyDescent="0.25">
      <c r="O347">
        <f ca="1"/>
        <v>0</v>
      </c>
      <c r="P347">
        <f ca="1"/>
        <v>0</v>
      </c>
      <c r="Q347">
        <f ca="1"/>
        <v>0</v>
      </c>
      <c r="R347">
        <f ca="1"/>
        <v>0</v>
      </c>
      <c r="S347">
        <f ca="1"/>
        <v>0</v>
      </c>
      <c r="T347">
        <f ca="1"/>
        <v>0</v>
      </c>
      <c r="U347">
        <f ca="1"/>
        <v>0</v>
      </c>
      <c r="V347">
        <f ca="1"/>
        <v>0</v>
      </c>
      <c r="W347">
        <f ca="1"/>
        <v>0</v>
      </c>
      <c r="X347">
        <f ca="1"/>
        <v>0</v>
      </c>
      <c r="Y347">
        <f ca="1"/>
        <v>0</v>
      </c>
      <c r="Z347">
        <f ca="1"/>
        <v>0</v>
      </c>
      <c r="AA347">
        <f ca="1"/>
        <v>0</v>
      </c>
      <c r="AB347">
        <f ca="1"/>
        <v>0</v>
      </c>
      <c r="AC347">
        <f ca="1"/>
        <v>0</v>
      </c>
    </row>
    <row r="348" spans="15:29" x14ac:dyDescent="0.25">
      <c r="O348">
        <f ca="1"/>
        <v>0</v>
      </c>
      <c r="P348">
        <f ca="1"/>
        <v>0</v>
      </c>
      <c r="Q348">
        <f ca="1"/>
        <v>0</v>
      </c>
      <c r="R348">
        <f ca="1"/>
        <v>0</v>
      </c>
      <c r="S348">
        <f ca="1"/>
        <v>0</v>
      </c>
      <c r="T348">
        <f ca="1"/>
        <v>0</v>
      </c>
      <c r="U348">
        <f ca="1"/>
        <v>0</v>
      </c>
      <c r="V348">
        <f ca="1"/>
        <v>0</v>
      </c>
      <c r="W348">
        <f ca="1"/>
        <v>0</v>
      </c>
      <c r="X348">
        <f ca="1"/>
        <v>0</v>
      </c>
      <c r="Y348">
        <f ca="1"/>
        <v>0</v>
      </c>
      <c r="Z348">
        <f ca="1"/>
        <v>0</v>
      </c>
      <c r="AA348">
        <f ca="1"/>
        <v>0</v>
      </c>
      <c r="AB348">
        <f ca="1"/>
        <v>0</v>
      </c>
      <c r="AC348">
        <f ca="1"/>
        <v>0</v>
      </c>
    </row>
    <row r="349" spans="15:29" x14ac:dyDescent="0.25">
      <c r="O349">
        <f ca="1"/>
        <v>0</v>
      </c>
      <c r="P349">
        <f ca="1"/>
        <v>0</v>
      </c>
      <c r="Q349">
        <f ca="1"/>
        <v>0</v>
      </c>
      <c r="R349">
        <f ca="1"/>
        <v>0</v>
      </c>
      <c r="S349">
        <f ca="1"/>
        <v>0</v>
      </c>
      <c r="T349">
        <f ca="1"/>
        <v>0</v>
      </c>
      <c r="U349">
        <f ca="1"/>
        <v>0</v>
      </c>
      <c r="V349">
        <f ca="1"/>
        <v>0</v>
      </c>
      <c r="W349">
        <f ca="1"/>
        <v>0</v>
      </c>
      <c r="X349">
        <f ca="1"/>
        <v>0</v>
      </c>
      <c r="Y349">
        <f ca="1"/>
        <v>0</v>
      </c>
      <c r="Z349">
        <f ca="1"/>
        <v>0</v>
      </c>
      <c r="AA349">
        <f ca="1"/>
        <v>0</v>
      </c>
      <c r="AB349">
        <f ca="1"/>
        <v>0</v>
      </c>
      <c r="AC349">
        <f ca="1"/>
        <v>0</v>
      </c>
    </row>
    <row r="350" spans="15:29" x14ac:dyDescent="0.25">
      <c r="O350">
        <f ca="1"/>
        <v>0</v>
      </c>
      <c r="P350">
        <f ca="1"/>
        <v>0</v>
      </c>
      <c r="Q350">
        <f ca="1"/>
        <v>0</v>
      </c>
      <c r="R350">
        <f ca="1"/>
        <v>0</v>
      </c>
      <c r="S350">
        <f ca="1"/>
        <v>0</v>
      </c>
      <c r="T350">
        <f ca="1"/>
        <v>0</v>
      </c>
      <c r="U350">
        <f ca="1"/>
        <v>0</v>
      </c>
      <c r="V350">
        <f ca="1"/>
        <v>0</v>
      </c>
      <c r="W350">
        <f ca="1"/>
        <v>0</v>
      </c>
      <c r="X350">
        <f ca="1"/>
        <v>0</v>
      </c>
      <c r="Y350">
        <f ca="1"/>
        <v>0</v>
      </c>
      <c r="Z350">
        <f ca="1"/>
        <v>0</v>
      </c>
      <c r="AA350">
        <f ca="1"/>
        <v>0</v>
      </c>
      <c r="AB350">
        <f ca="1"/>
        <v>0</v>
      </c>
      <c r="AC350">
        <f ca="1"/>
        <v>0</v>
      </c>
    </row>
    <row r="351" spans="15:29" x14ac:dyDescent="0.25">
      <c r="O351">
        <f ca="1"/>
        <v>0</v>
      </c>
      <c r="P351">
        <f ca="1"/>
        <v>0</v>
      </c>
      <c r="Q351">
        <f ca="1"/>
        <v>0</v>
      </c>
      <c r="R351">
        <f ca="1"/>
        <v>0</v>
      </c>
      <c r="S351">
        <f ca="1"/>
        <v>0</v>
      </c>
      <c r="T351">
        <f ca="1"/>
        <v>0</v>
      </c>
      <c r="U351">
        <f ca="1"/>
        <v>0</v>
      </c>
      <c r="V351">
        <f ca="1"/>
        <v>0</v>
      </c>
      <c r="W351">
        <f ca="1"/>
        <v>0</v>
      </c>
      <c r="X351">
        <f ca="1"/>
        <v>0</v>
      </c>
      <c r="Y351">
        <f ca="1"/>
        <v>0</v>
      </c>
      <c r="Z351">
        <f ca="1"/>
        <v>0</v>
      </c>
      <c r="AA351">
        <f ca="1"/>
        <v>0</v>
      </c>
      <c r="AB351">
        <f ca="1"/>
        <v>0</v>
      </c>
      <c r="AC351">
        <f ca="1"/>
        <v>0</v>
      </c>
    </row>
    <row r="352" spans="15:29" x14ac:dyDescent="0.25">
      <c r="O352">
        <f ca="1"/>
        <v>0</v>
      </c>
      <c r="P352">
        <f ca="1"/>
        <v>0</v>
      </c>
      <c r="Q352">
        <f ca="1"/>
        <v>0</v>
      </c>
      <c r="R352">
        <f ca="1"/>
        <v>0</v>
      </c>
      <c r="S352">
        <f ca="1"/>
        <v>0</v>
      </c>
      <c r="T352">
        <f ca="1"/>
        <v>0</v>
      </c>
      <c r="U352">
        <f ca="1"/>
        <v>0</v>
      </c>
      <c r="V352">
        <f ca="1"/>
        <v>0</v>
      </c>
      <c r="W352">
        <f ca="1"/>
        <v>0</v>
      </c>
      <c r="X352">
        <f ca="1"/>
        <v>0</v>
      </c>
      <c r="Y352">
        <f ca="1"/>
        <v>0</v>
      </c>
      <c r="Z352">
        <f ca="1"/>
        <v>0</v>
      </c>
      <c r="AA352">
        <f ca="1"/>
        <v>0</v>
      </c>
      <c r="AB352">
        <f ca="1"/>
        <v>0</v>
      </c>
      <c r="AC352">
        <f ca="1"/>
        <v>0</v>
      </c>
    </row>
    <row r="353" spans="15:29" x14ac:dyDescent="0.25">
      <c r="O353">
        <f ca="1"/>
        <v>0</v>
      </c>
      <c r="P353">
        <f ca="1"/>
        <v>0</v>
      </c>
      <c r="Q353">
        <f ca="1"/>
        <v>0</v>
      </c>
      <c r="R353">
        <f ca="1"/>
        <v>0</v>
      </c>
      <c r="S353">
        <f ca="1"/>
        <v>0</v>
      </c>
      <c r="T353">
        <f ca="1"/>
        <v>0</v>
      </c>
      <c r="U353">
        <f ca="1"/>
        <v>0</v>
      </c>
      <c r="V353">
        <f ca="1"/>
        <v>0</v>
      </c>
      <c r="W353">
        <f ca="1"/>
        <v>0</v>
      </c>
      <c r="X353">
        <f ca="1"/>
        <v>0</v>
      </c>
      <c r="Y353">
        <f ca="1"/>
        <v>0</v>
      </c>
      <c r="Z353">
        <f ca="1"/>
        <v>0</v>
      </c>
      <c r="AA353">
        <f ca="1"/>
        <v>0</v>
      </c>
      <c r="AB353">
        <f ca="1"/>
        <v>0</v>
      </c>
      <c r="AC353">
        <f ca="1"/>
        <v>0</v>
      </c>
    </row>
    <row r="354" spans="15:29" x14ac:dyDescent="0.25">
      <c r="O354">
        <f ca="1"/>
        <v>0</v>
      </c>
      <c r="P354">
        <f ca="1"/>
        <v>0</v>
      </c>
      <c r="Q354">
        <f ca="1"/>
        <v>0</v>
      </c>
      <c r="R354">
        <f ca="1"/>
        <v>0</v>
      </c>
      <c r="S354">
        <f ca="1"/>
        <v>0</v>
      </c>
      <c r="T354">
        <f ca="1"/>
        <v>0</v>
      </c>
      <c r="U354">
        <f ca="1"/>
        <v>0</v>
      </c>
      <c r="V354">
        <f ca="1"/>
        <v>0</v>
      </c>
      <c r="W354">
        <f ca="1"/>
        <v>0</v>
      </c>
      <c r="X354">
        <f ca="1"/>
        <v>0</v>
      </c>
      <c r="Y354">
        <f ca="1"/>
        <v>0</v>
      </c>
      <c r="Z354">
        <f ca="1"/>
        <v>0</v>
      </c>
      <c r="AA354">
        <f ca="1"/>
        <v>0</v>
      </c>
      <c r="AB354">
        <f ca="1"/>
        <v>0</v>
      </c>
      <c r="AC354">
        <f ca="1"/>
        <v>0</v>
      </c>
    </row>
    <row r="355" spans="15:29" x14ac:dyDescent="0.25">
      <c r="O355">
        <f ca="1"/>
        <v>0</v>
      </c>
      <c r="P355">
        <f ca="1"/>
        <v>0</v>
      </c>
      <c r="Q355">
        <f ca="1"/>
        <v>0</v>
      </c>
      <c r="R355">
        <f ca="1"/>
        <v>0</v>
      </c>
      <c r="S355">
        <f ca="1"/>
        <v>0</v>
      </c>
      <c r="T355">
        <f ca="1"/>
        <v>0</v>
      </c>
      <c r="U355">
        <f ca="1"/>
        <v>0</v>
      </c>
      <c r="V355">
        <f ca="1"/>
        <v>0</v>
      </c>
      <c r="W355">
        <f ca="1"/>
        <v>0</v>
      </c>
      <c r="X355">
        <f ca="1"/>
        <v>0</v>
      </c>
      <c r="Y355">
        <f ca="1"/>
        <v>0</v>
      </c>
      <c r="Z355">
        <f ca="1"/>
        <v>0</v>
      </c>
      <c r="AA355">
        <f ca="1"/>
        <v>0</v>
      </c>
      <c r="AB355">
        <f ca="1"/>
        <v>0</v>
      </c>
      <c r="AC355">
        <f ca="1"/>
        <v>0</v>
      </c>
    </row>
    <row r="356" spans="15:29" x14ac:dyDescent="0.25">
      <c r="O356">
        <f ca="1"/>
        <v>0</v>
      </c>
      <c r="P356">
        <f ca="1"/>
        <v>0</v>
      </c>
      <c r="Q356">
        <f ca="1"/>
        <v>0</v>
      </c>
      <c r="R356">
        <f ca="1"/>
        <v>0</v>
      </c>
      <c r="S356">
        <f ca="1"/>
        <v>0</v>
      </c>
      <c r="T356">
        <f ca="1"/>
        <v>0</v>
      </c>
      <c r="U356">
        <f ca="1"/>
        <v>0</v>
      </c>
      <c r="V356">
        <f ca="1"/>
        <v>0</v>
      </c>
      <c r="W356">
        <f ca="1"/>
        <v>0</v>
      </c>
      <c r="X356">
        <f ca="1"/>
        <v>0</v>
      </c>
      <c r="Y356">
        <f ca="1"/>
        <v>0</v>
      </c>
      <c r="Z356">
        <f ca="1"/>
        <v>0</v>
      </c>
      <c r="AA356">
        <f ca="1"/>
        <v>0</v>
      </c>
      <c r="AB356">
        <f ca="1"/>
        <v>0</v>
      </c>
      <c r="AC356">
        <f ca="1"/>
        <v>0</v>
      </c>
    </row>
    <row r="357" spans="15:29" x14ac:dyDescent="0.25">
      <c r="O357">
        <f ca="1"/>
        <v>0</v>
      </c>
      <c r="P357">
        <f ca="1"/>
        <v>0</v>
      </c>
      <c r="Q357">
        <f ca="1"/>
        <v>0</v>
      </c>
      <c r="R357">
        <f ca="1"/>
        <v>0</v>
      </c>
      <c r="S357">
        <f ca="1"/>
        <v>0</v>
      </c>
      <c r="T357">
        <f ca="1"/>
        <v>0</v>
      </c>
      <c r="U357">
        <f ca="1"/>
        <v>0</v>
      </c>
      <c r="V357">
        <f ca="1"/>
        <v>0</v>
      </c>
      <c r="W357">
        <f ca="1"/>
        <v>0</v>
      </c>
      <c r="X357">
        <f ca="1"/>
        <v>0</v>
      </c>
      <c r="Y357">
        <f ca="1"/>
        <v>0</v>
      </c>
      <c r="Z357">
        <f ca="1"/>
        <v>0</v>
      </c>
      <c r="AA357">
        <f ca="1"/>
        <v>0</v>
      </c>
      <c r="AB357">
        <f ca="1"/>
        <v>0</v>
      </c>
      <c r="AC357">
        <f ca="1"/>
        <v>0</v>
      </c>
    </row>
    <row r="358" spans="15:29" x14ac:dyDescent="0.25">
      <c r="O358">
        <f ca="1"/>
        <v>0</v>
      </c>
      <c r="P358">
        <f ca="1"/>
        <v>0</v>
      </c>
      <c r="Q358">
        <f ca="1"/>
        <v>0</v>
      </c>
      <c r="R358">
        <f ca="1"/>
        <v>0</v>
      </c>
      <c r="S358">
        <f ca="1"/>
        <v>0</v>
      </c>
      <c r="T358">
        <f ca="1"/>
        <v>0</v>
      </c>
      <c r="U358">
        <f ca="1"/>
        <v>0</v>
      </c>
      <c r="V358">
        <f ca="1"/>
        <v>0</v>
      </c>
      <c r="W358">
        <f ca="1"/>
        <v>0</v>
      </c>
      <c r="X358">
        <f ca="1"/>
        <v>0</v>
      </c>
      <c r="Y358">
        <f ca="1"/>
        <v>0</v>
      </c>
      <c r="Z358">
        <f ca="1"/>
        <v>0</v>
      </c>
      <c r="AA358">
        <f ca="1"/>
        <v>0</v>
      </c>
      <c r="AB358">
        <f ca="1"/>
        <v>0</v>
      </c>
      <c r="AC358">
        <f ca="1"/>
        <v>0</v>
      </c>
    </row>
    <row r="359" spans="15:29" x14ac:dyDescent="0.25">
      <c r="O359">
        <f ca="1"/>
        <v>0</v>
      </c>
      <c r="P359">
        <f ca="1"/>
        <v>0</v>
      </c>
      <c r="Q359">
        <f ca="1"/>
        <v>0</v>
      </c>
      <c r="R359">
        <f ca="1"/>
        <v>0</v>
      </c>
      <c r="S359">
        <f ca="1"/>
        <v>0</v>
      </c>
      <c r="T359">
        <f ca="1"/>
        <v>0</v>
      </c>
      <c r="U359">
        <f ca="1"/>
        <v>0</v>
      </c>
      <c r="V359">
        <f ca="1"/>
        <v>0</v>
      </c>
      <c r="W359">
        <f ca="1"/>
        <v>0</v>
      </c>
      <c r="X359">
        <f ca="1"/>
        <v>0</v>
      </c>
      <c r="Y359">
        <f ca="1"/>
        <v>0</v>
      </c>
      <c r="Z359">
        <f ca="1"/>
        <v>0</v>
      </c>
      <c r="AA359">
        <f ca="1"/>
        <v>0</v>
      </c>
      <c r="AB359">
        <f ca="1"/>
        <v>0</v>
      </c>
      <c r="AC359">
        <f ca="1"/>
        <v>0</v>
      </c>
    </row>
    <row r="360" spans="15:29" x14ac:dyDescent="0.25">
      <c r="O360">
        <f ca="1"/>
        <v>0</v>
      </c>
      <c r="P360">
        <f ca="1"/>
        <v>0</v>
      </c>
      <c r="Q360">
        <f ca="1"/>
        <v>0</v>
      </c>
      <c r="R360">
        <f ca="1"/>
        <v>0</v>
      </c>
      <c r="S360">
        <f ca="1"/>
        <v>0</v>
      </c>
      <c r="T360">
        <f ca="1"/>
        <v>0</v>
      </c>
      <c r="U360">
        <f ca="1"/>
        <v>0</v>
      </c>
      <c r="V360">
        <f ca="1"/>
        <v>0</v>
      </c>
      <c r="W360">
        <f ca="1"/>
        <v>0</v>
      </c>
      <c r="X360">
        <f ca="1"/>
        <v>0</v>
      </c>
      <c r="Y360">
        <f ca="1"/>
        <v>0</v>
      </c>
      <c r="Z360">
        <f ca="1"/>
        <v>0</v>
      </c>
      <c r="AA360">
        <f ca="1"/>
        <v>0</v>
      </c>
      <c r="AB360">
        <f ca="1"/>
        <v>0</v>
      </c>
      <c r="AC360">
        <f ca="1"/>
        <v>0</v>
      </c>
    </row>
    <row r="361" spans="15:29" x14ac:dyDescent="0.25">
      <c r="O361">
        <f ca="1"/>
        <v>0</v>
      </c>
      <c r="P361">
        <f ca="1"/>
        <v>0</v>
      </c>
      <c r="Q361">
        <f ca="1"/>
        <v>0</v>
      </c>
      <c r="R361">
        <f ca="1"/>
        <v>0</v>
      </c>
      <c r="S361">
        <f ca="1"/>
        <v>0</v>
      </c>
      <c r="T361">
        <f ca="1"/>
        <v>0</v>
      </c>
      <c r="U361">
        <f ca="1"/>
        <v>0</v>
      </c>
      <c r="V361">
        <f ca="1"/>
        <v>0</v>
      </c>
      <c r="W361">
        <f ca="1"/>
        <v>0</v>
      </c>
      <c r="X361">
        <f ca="1"/>
        <v>0</v>
      </c>
      <c r="Y361">
        <f ca="1"/>
        <v>0</v>
      </c>
      <c r="Z361">
        <f ca="1"/>
        <v>0</v>
      </c>
      <c r="AA361">
        <f ca="1"/>
        <v>0</v>
      </c>
      <c r="AB361">
        <f ca="1"/>
        <v>0</v>
      </c>
      <c r="AC361">
        <f ca="1"/>
        <v>0</v>
      </c>
    </row>
    <row r="362" spans="15:29" x14ac:dyDescent="0.25">
      <c r="O362">
        <f ca="1"/>
        <v>0</v>
      </c>
      <c r="P362">
        <f ca="1"/>
        <v>0</v>
      </c>
      <c r="Q362">
        <f ca="1"/>
        <v>0</v>
      </c>
      <c r="R362">
        <f ca="1"/>
        <v>0</v>
      </c>
      <c r="S362">
        <f ca="1"/>
        <v>0</v>
      </c>
      <c r="T362">
        <f ca="1"/>
        <v>0</v>
      </c>
      <c r="U362">
        <f ca="1"/>
        <v>0</v>
      </c>
      <c r="V362">
        <f ca="1"/>
        <v>0</v>
      </c>
      <c r="W362">
        <f ca="1"/>
        <v>0</v>
      </c>
      <c r="X362">
        <f ca="1"/>
        <v>0</v>
      </c>
      <c r="Y362">
        <f ca="1"/>
        <v>0</v>
      </c>
      <c r="Z362">
        <f ca="1"/>
        <v>0</v>
      </c>
      <c r="AA362">
        <f ca="1"/>
        <v>0</v>
      </c>
      <c r="AB362">
        <f ca="1"/>
        <v>0</v>
      </c>
      <c r="AC362">
        <f ca="1"/>
        <v>0</v>
      </c>
    </row>
    <row r="363" spans="15:29" x14ac:dyDescent="0.25">
      <c r="O363">
        <f ca="1"/>
        <v>0</v>
      </c>
      <c r="P363">
        <f ca="1"/>
        <v>0</v>
      </c>
      <c r="Q363">
        <f ca="1"/>
        <v>0</v>
      </c>
      <c r="R363">
        <f ca="1"/>
        <v>0</v>
      </c>
      <c r="S363">
        <f ca="1"/>
        <v>0</v>
      </c>
      <c r="T363">
        <f ca="1"/>
        <v>0</v>
      </c>
      <c r="U363">
        <f ca="1"/>
        <v>0</v>
      </c>
      <c r="V363">
        <f ca="1"/>
        <v>0</v>
      </c>
      <c r="W363">
        <f ca="1"/>
        <v>0</v>
      </c>
      <c r="X363">
        <f ca="1"/>
        <v>0</v>
      </c>
      <c r="Y363">
        <f ca="1"/>
        <v>0</v>
      </c>
      <c r="Z363">
        <f ca="1"/>
        <v>0</v>
      </c>
      <c r="AA363">
        <f ca="1"/>
        <v>0</v>
      </c>
      <c r="AB363">
        <f ca="1"/>
        <v>0</v>
      </c>
      <c r="AC363">
        <f ca="1"/>
        <v>0</v>
      </c>
    </row>
    <row r="364" spans="15:29" x14ac:dyDescent="0.25">
      <c r="O364">
        <f ca="1"/>
        <v>0</v>
      </c>
      <c r="P364">
        <f ca="1"/>
        <v>0</v>
      </c>
      <c r="Q364">
        <f ca="1"/>
        <v>0</v>
      </c>
      <c r="R364">
        <f ca="1"/>
        <v>0</v>
      </c>
      <c r="S364">
        <f ca="1"/>
        <v>0</v>
      </c>
      <c r="T364">
        <f ca="1"/>
        <v>0</v>
      </c>
      <c r="U364">
        <f ca="1"/>
        <v>0</v>
      </c>
      <c r="V364">
        <f ca="1"/>
        <v>0</v>
      </c>
      <c r="W364">
        <f ca="1"/>
        <v>0</v>
      </c>
      <c r="X364">
        <f ca="1"/>
        <v>0</v>
      </c>
      <c r="Y364">
        <f ca="1"/>
        <v>0</v>
      </c>
      <c r="Z364">
        <f ca="1"/>
        <v>0</v>
      </c>
      <c r="AA364">
        <f ca="1"/>
        <v>0</v>
      </c>
      <c r="AB364">
        <f ca="1"/>
        <v>0</v>
      </c>
      <c r="AC364">
        <f ca="1"/>
        <v>0</v>
      </c>
    </row>
    <row r="365" spans="15:29" x14ac:dyDescent="0.25">
      <c r="O365">
        <f ca="1"/>
        <v>0</v>
      </c>
      <c r="P365">
        <f ca="1"/>
        <v>0</v>
      </c>
      <c r="Q365">
        <f ca="1"/>
        <v>0</v>
      </c>
      <c r="R365">
        <f ca="1"/>
        <v>0</v>
      </c>
      <c r="S365">
        <f ca="1"/>
        <v>0</v>
      </c>
      <c r="T365">
        <f ca="1"/>
        <v>0</v>
      </c>
      <c r="U365">
        <f ca="1"/>
        <v>0</v>
      </c>
      <c r="V365">
        <f ca="1"/>
        <v>0</v>
      </c>
      <c r="W365">
        <f ca="1"/>
        <v>0</v>
      </c>
      <c r="X365">
        <f ca="1"/>
        <v>0</v>
      </c>
      <c r="Y365">
        <f ca="1"/>
        <v>0</v>
      </c>
      <c r="Z365">
        <f ca="1"/>
        <v>0</v>
      </c>
      <c r="AA365">
        <f ca="1"/>
        <v>0</v>
      </c>
      <c r="AB365">
        <f ca="1"/>
        <v>0</v>
      </c>
      <c r="AC365">
        <f ca="1"/>
        <v>0</v>
      </c>
    </row>
    <row r="366" spans="15:29" x14ac:dyDescent="0.25">
      <c r="O366">
        <f ca="1"/>
        <v>0</v>
      </c>
      <c r="P366">
        <f ca="1"/>
        <v>0</v>
      </c>
      <c r="Q366">
        <f ca="1"/>
        <v>0</v>
      </c>
      <c r="R366">
        <f ca="1"/>
        <v>0</v>
      </c>
      <c r="S366">
        <f ca="1"/>
        <v>0</v>
      </c>
      <c r="T366">
        <f ca="1"/>
        <v>0</v>
      </c>
      <c r="U366">
        <f ca="1"/>
        <v>0</v>
      </c>
      <c r="V366">
        <f ca="1"/>
        <v>0</v>
      </c>
      <c r="W366">
        <f ca="1"/>
        <v>0</v>
      </c>
      <c r="X366">
        <f ca="1"/>
        <v>0</v>
      </c>
      <c r="Y366">
        <f ca="1"/>
        <v>0</v>
      </c>
      <c r="Z366">
        <f ca="1"/>
        <v>0</v>
      </c>
      <c r="AA366">
        <f ca="1"/>
        <v>0</v>
      </c>
      <c r="AB366">
        <f ca="1"/>
        <v>0</v>
      </c>
      <c r="AC366">
        <f ca="1"/>
        <v>0</v>
      </c>
    </row>
    <row r="367" spans="15:29" x14ac:dyDescent="0.25">
      <c r="O367">
        <f ca="1"/>
        <v>0</v>
      </c>
      <c r="P367">
        <f ca="1"/>
        <v>0</v>
      </c>
      <c r="Q367">
        <f ca="1"/>
        <v>0</v>
      </c>
      <c r="R367">
        <f ca="1"/>
        <v>0</v>
      </c>
      <c r="S367">
        <f ca="1"/>
        <v>0</v>
      </c>
      <c r="T367">
        <f ca="1"/>
        <v>0</v>
      </c>
      <c r="U367">
        <f ca="1"/>
        <v>0</v>
      </c>
      <c r="V367">
        <f ca="1"/>
        <v>0</v>
      </c>
      <c r="W367">
        <f ca="1"/>
        <v>0</v>
      </c>
      <c r="X367">
        <f ca="1"/>
        <v>0</v>
      </c>
      <c r="Y367">
        <f ca="1"/>
        <v>0</v>
      </c>
      <c r="Z367">
        <f ca="1"/>
        <v>0</v>
      </c>
      <c r="AA367">
        <f ca="1"/>
        <v>0</v>
      </c>
      <c r="AB367">
        <f ca="1"/>
        <v>0</v>
      </c>
      <c r="AC367">
        <f ca="1"/>
        <v>0</v>
      </c>
    </row>
    <row r="368" spans="15:29" x14ac:dyDescent="0.25">
      <c r="O368">
        <f ca="1"/>
        <v>0</v>
      </c>
      <c r="P368">
        <f ca="1"/>
        <v>0</v>
      </c>
      <c r="Q368">
        <f ca="1"/>
        <v>0</v>
      </c>
      <c r="R368">
        <f ca="1"/>
        <v>0</v>
      </c>
      <c r="S368">
        <f ca="1"/>
        <v>0</v>
      </c>
      <c r="T368">
        <f ca="1"/>
        <v>0</v>
      </c>
      <c r="U368">
        <f ca="1"/>
        <v>0</v>
      </c>
      <c r="V368">
        <f ca="1"/>
        <v>0</v>
      </c>
      <c r="W368">
        <f ca="1"/>
        <v>0</v>
      </c>
      <c r="X368">
        <f ca="1"/>
        <v>0</v>
      </c>
      <c r="Y368">
        <f ca="1"/>
        <v>0</v>
      </c>
      <c r="Z368">
        <f ca="1"/>
        <v>0</v>
      </c>
      <c r="AA368">
        <f ca="1"/>
        <v>0</v>
      </c>
      <c r="AB368">
        <f ca="1"/>
        <v>0</v>
      </c>
      <c r="AC368">
        <f ca="1"/>
        <v>0</v>
      </c>
    </row>
    <row r="369" spans="15:29" x14ac:dyDescent="0.25">
      <c r="O369">
        <f ca="1"/>
        <v>0</v>
      </c>
      <c r="P369">
        <f ca="1"/>
        <v>0</v>
      </c>
      <c r="Q369">
        <f ca="1"/>
        <v>0</v>
      </c>
      <c r="R369">
        <f ca="1"/>
        <v>0</v>
      </c>
      <c r="S369">
        <f ca="1"/>
        <v>0</v>
      </c>
      <c r="T369">
        <f ca="1"/>
        <v>0</v>
      </c>
      <c r="U369">
        <f ca="1"/>
        <v>0</v>
      </c>
      <c r="V369">
        <f ca="1"/>
        <v>0</v>
      </c>
      <c r="W369">
        <f ca="1"/>
        <v>0</v>
      </c>
      <c r="X369">
        <f ca="1"/>
        <v>0</v>
      </c>
      <c r="Y369">
        <f ca="1"/>
        <v>0</v>
      </c>
      <c r="Z369">
        <f ca="1"/>
        <v>0</v>
      </c>
      <c r="AA369">
        <f ca="1"/>
        <v>0</v>
      </c>
      <c r="AB369">
        <f ca="1"/>
        <v>0</v>
      </c>
      <c r="AC369">
        <f ca="1"/>
        <v>0</v>
      </c>
    </row>
    <row r="370" spans="15:29" x14ac:dyDescent="0.25">
      <c r="O370">
        <f ca="1"/>
        <v>0</v>
      </c>
      <c r="P370">
        <f ca="1"/>
        <v>0</v>
      </c>
      <c r="Q370">
        <f ca="1"/>
        <v>0</v>
      </c>
      <c r="R370">
        <f ca="1"/>
        <v>0</v>
      </c>
      <c r="S370">
        <f ca="1"/>
        <v>0</v>
      </c>
      <c r="T370">
        <f ca="1"/>
        <v>0</v>
      </c>
      <c r="U370">
        <f ca="1"/>
        <v>0</v>
      </c>
      <c r="V370">
        <f ca="1"/>
        <v>0</v>
      </c>
      <c r="W370">
        <f ca="1"/>
        <v>0</v>
      </c>
      <c r="X370">
        <f ca="1"/>
        <v>0</v>
      </c>
      <c r="Y370">
        <f ca="1"/>
        <v>0</v>
      </c>
      <c r="Z370">
        <f ca="1"/>
        <v>0</v>
      </c>
      <c r="AA370">
        <f ca="1"/>
        <v>0</v>
      </c>
      <c r="AB370">
        <f ca="1"/>
        <v>0</v>
      </c>
      <c r="AC370">
        <f ca="1"/>
        <v>0</v>
      </c>
    </row>
    <row r="371" spans="15:29" x14ac:dyDescent="0.25">
      <c r="O371">
        <f ca="1"/>
        <v>0</v>
      </c>
      <c r="P371">
        <f ca="1"/>
        <v>0</v>
      </c>
      <c r="Q371">
        <f ca="1"/>
        <v>0</v>
      </c>
      <c r="R371">
        <f ca="1"/>
        <v>0</v>
      </c>
      <c r="S371">
        <f ca="1"/>
        <v>0</v>
      </c>
      <c r="T371">
        <f ca="1"/>
        <v>0</v>
      </c>
      <c r="U371">
        <f ca="1"/>
        <v>0</v>
      </c>
      <c r="V371">
        <f ca="1"/>
        <v>0</v>
      </c>
      <c r="W371">
        <f ca="1"/>
        <v>0</v>
      </c>
      <c r="X371">
        <f ca="1"/>
        <v>0</v>
      </c>
      <c r="Y371">
        <f ca="1"/>
        <v>0</v>
      </c>
      <c r="Z371">
        <f ca="1"/>
        <v>0</v>
      </c>
      <c r="AA371">
        <f ca="1"/>
        <v>0</v>
      </c>
      <c r="AB371">
        <f ca="1"/>
        <v>0</v>
      </c>
      <c r="AC371">
        <f ca="1"/>
        <v>0</v>
      </c>
    </row>
    <row r="372" spans="15:29" x14ac:dyDescent="0.25">
      <c r="O372">
        <f ca="1"/>
        <v>0</v>
      </c>
      <c r="P372">
        <f ca="1"/>
        <v>0</v>
      </c>
      <c r="Q372">
        <f ca="1"/>
        <v>0</v>
      </c>
      <c r="R372">
        <f ca="1"/>
        <v>0</v>
      </c>
      <c r="S372">
        <f ca="1"/>
        <v>0</v>
      </c>
      <c r="T372">
        <f ca="1"/>
        <v>0</v>
      </c>
      <c r="U372">
        <f ca="1"/>
        <v>0</v>
      </c>
      <c r="V372">
        <f ca="1"/>
        <v>0</v>
      </c>
      <c r="W372">
        <f ca="1"/>
        <v>0</v>
      </c>
      <c r="X372">
        <f ca="1"/>
        <v>0</v>
      </c>
      <c r="Y372">
        <f ca="1"/>
        <v>0</v>
      </c>
      <c r="Z372">
        <f ca="1"/>
        <v>0</v>
      </c>
      <c r="AA372">
        <f ca="1"/>
        <v>0</v>
      </c>
      <c r="AB372">
        <f ca="1"/>
        <v>0</v>
      </c>
      <c r="AC372">
        <f ca="1"/>
        <v>0</v>
      </c>
    </row>
    <row r="373" spans="15:29" x14ac:dyDescent="0.25">
      <c r="O373">
        <f ca="1"/>
        <v>0</v>
      </c>
      <c r="P373">
        <f ca="1"/>
        <v>0</v>
      </c>
      <c r="Q373">
        <f ca="1"/>
        <v>0</v>
      </c>
      <c r="R373">
        <f ca="1"/>
        <v>0</v>
      </c>
      <c r="S373">
        <f ca="1"/>
        <v>0</v>
      </c>
      <c r="T373">
        <f ca="1"/>
        <v>0</v>
      </c>
      <c r="U373">
        <f ca="1"/>
        <v>0</v>
      </c>
      <c r="V373">
        <f ca="1"/>
        <v>0</v>
      </c>
      <c r="W373">
        <f ca="1"/>
        <v>0</v>
      </c>
      <c r="X373">
        <f ca="1"/>
        <v>0</v>
      </c>
      <c r="Y373">
        <f ca="1"/>
        <v>0</v>
      </c>
      <c r="Z373">
        <f ca="1"/>
        <v>0</v>
      </c>
      <c r="AA373">
        <f ca="1"/>
        <v>0</v>
      </c>
      <c r="AB373">
        <f ca="1"/>
        <v>0</v>
      </c>
      <c r="AC373">
        <f ca="1"/>
        <v>0</v>
      </c>
    </row>
    <row r="374" spans="15:29" x14ac:dyDescent="0.25">
      <c r="O374">
        <f ca="1"/>
        <v>0</v>
      </c>
      <c r="P374">
        <f ca="1"/>
        <v>0</v>
      </c>
      <c r="Q374">
        <f ca="1"/>
        <v>0</v>
      </c>
      <c r="R374">
        <f ca="1"/>
        <v>0</v>
      </c>
      <c r="S374">
        <f ca="1"/>
        <v>0</v>
      </c>
      <c r="T374">
        <f ca="1"/>
        <v>0</v>
      </c>
      <c r="U374">
        <f ca="1"/>
        <v>0</v>
      </c>
      <c r="V374">
        <f ca="1"/>
        <v>0</v>
      </c>
      <c r="W374">
        <f ca="1"/>
        <v>0</v>
      </c>
      <c r="X374">
        <f ca="1"/>
        <v>0</v>
      </c>
      <c r="Y374">
        <f ca="1"/>
        <v>0</v>
      </c>
      <c r="Z374">
        <f ca="1"/>
        <v>0</v>
      </c>
      <c r="AA374">
        <f ca="1"/>
        <v>0</v>
      </c>
      <c r="AB374">
        <f ca="1"/>
        <v>0</v>
      </c>
      <c r="AC374">
        <f ca="1"/>
        <v>0</v>
      </c>
    </row>
    <row r="375" spans="15:29" x14ac:dyDescent="0.25">
      <c r="O375">
        <f ca="1"/>
        <v>0</v>
      </c>
      <c r="P375">
        <f ca="1"/>
        <v>0</v>
      </c>
      <c r="Q375">
        <f ca="1"/>
        <v>0</v>
      </c>
      <c r="R375">
        <f ca="1"/>
        <v>0</v>
      </c>
      <c r="S375">
        <f ca="1"/>
        <v>0</v>
      </c>
      <c r="T375">
        <f ca="1"/>
        <v>0</v>
      </c>
      <c r="U375">
        <f ca="1"/>
        <v>0</v>
      </c>
      <c r="V375">
        <f ca="1"/>
        <v>0</v>
      </c>
      <c r="W375">
        <f ca="1"/>
        <v>0</v>
      </c>
      <c r="X375">
        <f ca="1"/>
        <v>0</v>
      </c>
      <c r="Y375">
        <f ca="1"/>
        <v>0</v>
      </c>
      <c r="Z375">
        <f ca="1"/>
        <v>0</v>
      </c>
      <c r="AA375">
        <f ca="1"/>
        <v>0</v>
      </c>
      <c r="AB375">
        <f ca="1"/>
        <v>0</v>
      </c>
      <c r="AC375">
        <f ca="1"/>
        <v>0</v>
      </c>
    </row>
    <row r="376" spans="15:29" x14ac:dyDescent="0.25">
      <c r="O376">
        <f ca="1"/>
        <v>0</v>
      </c>
      <c r="P376">
        <f ca="1"/>
        <v>0</v>
      </c>
      <c r="Q376">
        <f ca="1"/>
        <v>0</v>
      </c>
      <c r="R376">
        <f ca="1"/>
        <v>0</v>
      </c>
      <c r="S376">
        <f ca="1"/>
        <v>0</v>
      </c>
      <c r="T376">
        <f ca="1"/>
        <v>0</v>
      </c>
      <c r="U376">
        <f ca="1"/>
        <v>0</v>
      </c>
      <c r="V376">
        <f ca="1"/>
        <v>0</v>
      </c>
      <c r="W376">
        <f ca="1"/>
        <v>0</v>
      </c>
      <c r="X376">
        <f ca="1"/>
        <v>0</v>
      </c>
      <c r="Y376">
        <f ca="1"/>
        <v>0</v>
      </c>
      <c r="Z376">
        <f ca="1"/>
        <v>0</v>
      </c>
      <c r="AA376">
        <f ca="1"/>
        <v>0</v>
      </c>
      <c r="AB376">
        <f ca="1"/>
        <v>0</v>
      </c>
      <c r="AC376">
        <f ca="1"/>
        <v>0</v>
      </c>
    </row>
    <row r="377" spans="15:29" x14ac:dyDescent="0.25">
      <c r="O377">
        <f ca="1"/>
        <v>0</v>
      </c>
      <c r="P377">
        <f ca="1"/>
        <v>0</v>
      </c>
      <c r="Q377">
        <f ca="1"/>
        <v>0</v>
      </c>
      <c r="R377">
        <f ca="1"/>
        <v>0</v>
      </c>
      <c r="S377">
        <f ca="1"/>
        <v>0</v>
      </c>
      <c r="T377">
        <f ca="1"/>
        <v>0</v>
      </c>
      <c r="U377">
        <f ca="1"/>
        <v>0</v>
      </c>
      <c r="V377">
        <f ca="1"/>
        <v>0</v>
      </c>
      <c r="W377">
        <f ca="1"/>
        <v>0</v>
      </c>
      <c r="X377">
        <f ca="1"/>
        <v>0</v>
      </c>
      <c r="Y377">
        <f ca="1"/>
        <v>0</v>
      </c>
      <c r="Z377">
        <f ca="1"/>
        <v>0</v>
      </c>
      <c r="AA377">
        <f ca="1"/>
        <v>0</v>
      </c>
      <c r="AB377">
        <f ca="1"/>
        <v>0</v>
      </c>
      <c r="AC377">
        <f ca="1"/>
        <v>0</v>
      </c>
    </row>
    <row r="378" spans="15:29" x14ac:dyDescent="0.25">
      <c r="O378">
        <f ca="1"/>
        <v>0</v>
      </c>
      <c r="P378">
        <f ca="1"/>
        <v>0</v>
      </c>
      <c r="Q378">
        <f ca="1"/>
        <v>0</v>
      </c>
      <c r="R378">
        <f ca="1"/>
        <v>0</v>
      </c>
      <c r="S378">
        <f ca="1"/>
        <v>0</v>
      </c>
      <c r="T378">
        <f ca="1"/>
        <v>0</v>
      </c>
      <c r="U378">
        <f ca="1"/>
        <v>0</v>
      </c>
      <c r="V378">
        <f ca="1"/>
        <v>0</v>
      </c>
      <c r="W378">
        <f ca="1"/>
        <v>0</v>
      </c>
      <c r="X378">
        <f ca="1"/>
        <v>0</v>
      </c>
      <c r="Y378">
        <f ca="1"/>
        <v>0</v>
      </c>
      <c r="Z378">
        <f ca="1"/>
        <v>0</v>
      </c>
      <c r="AA378">
        <f ca="1"/>
        <v>0</v>
      </c>
      <c r="AB378">
        <f ca="1"/>
        <v>0</v>
      </c>
      <c r="AC378">
        <f ca="1"/>
        <v>0</v>
      </c>
    </row>
    <row r="379" spans="15:29" x14ac:dyDescent="0.25">
      <c r="O379">
        <f ca="1"/>
        <v>0</v>
      </c>
      <c r="P379">
        <f ca="1"/>
        <v>0</v>
      </c>
      <c r="Q379">
        <f ca="1"/>
        <v>0</v>
      </c>
      <c r="R379">
        <f ca="1"/>
        <v>0</v>
      </c>
      <c r="S379">
        <f ca="1"/>
        <v>0</v>
      </c>
      <c r="T379">
        <f ca="1"/>
        <v>0</v>
      </c>
      <c r="U379">
        <f ca="1"/>
        <v>0</v>
      </c>
      <c r="V379">
        <f ca="1"/>
        <v>0</v>
      </c>
      <c r="W379">
        <f ca="1"/>
        <v>0</v>
      </c>
      <c r="X379">
        <f ca="1"/>
        <v>0</v>
      </c>
      <c r="Y379">
        <f ca="1"/>
        <v>0</v>
      </c>
      <c r="Z379">
        <f ca="1"/>
        <v>0</v>
      </c>
      <c r="AA379">
        <f ca="1"/>
        <v>0</v>
      </c>
      <c r="AB379">
        <f ca="1"/>
        <v>0</v>
      </c>
      <c r="AC379">
        <f ca="1"/>
        <v>0</v>
      </c>
    </row>
    <row r="380" spans="15:29" x14ac:dyDescent="0.25">
      <c r="O380">
        <f ca="1"/>
        <v>0</v>
      </c>
      <c r="P380">
        <f ca="1"/>
        <v>0</v>
      </c>
      <c r="Q380">
        <f ca="1"/>
        <v>0</v>
      </c>
      <c r="R380">
        <f ca="1"/>
        <v>0</v>
      </c>
      <c r="S380">
        <f ca="1"/>
        <v>0</v>
      </c>
      <c r="T380">
        <f ca="1"/>
        <v>0</v>
      </c>
      <c r="U380">
        <f ca="1"/>
        <v>0</v>
      </c>
      <c r="V380">
        <f ca="1"/>
        <v>0</v>
      </c>
      <c r="W380">
        <f ca="1"/>
        <v>0</v>
      </c>
      <c r="X380">
        <f ca="1"/>
        <v>0</v>
      </c>
      <c r="Y380">
        <f ca="1"/>
        <v>0</v>
      </c>
      <c r="Z380">
        <f ca="1"/>
        <v>0</v>
      </c>
      <c r="AA380">
        <f ca="1"/>
        <v>0</v>
      </c>
      <c r="AB380">
        <f ca="1"/>
        <v>0</v>
      </c>
      <c r="AC380">
        <f ca="1"/>
        <v>0</v>
      </c>
    </row>
    <row r="381" spans="15:29" x14ac:dyDescent="0.25">
      <c r="O381">
        <f ca="1"/>
        <v>0</v>
      </c>
      <c r="P381">
        <f ca="1"/>
        <v>0</v>
      </c>
      <c r="Q381">
        <f ca="1"/>
        <v>0</v>
      </c>
      <c r="R381">
        <f ca="1"/>
        <v>0</v>
      </c>
      <c r="S381">
        <f ca="1"/>
        <v>0</v>
      </c>
      <c r="T381">
        <f ca="1"/>
        <v>0</v>
      </c>
      <c r="U381">
        <f ca="1"/>
        <v>0</v>
      </c>
      <c r="V381">
        <f ca="1"/>
        <v>0</v>
      </c>
      <c r="W381">
        <f ca="1"/>
        <v>0</v>
      </c>
      <c r="X381">
        <f ca="1"/>
        <v>0</v>
      </c>
      <c r="Y381">
        <f ca="1"/>
        <v>0</v>
      </c>
      <c r="Z381">
        <f ca="1"/>
        <v>0</v>
      </c>
      <c r="AA381">
        <f ca="1"/>
        <v>0</v>
      </c>
      <c r="AB381">
        <f ca="1"/>
        <v>0</v>
      </c>
      <c r="AC381">
        <f ca="1"/>
        <v>0</v>
      </c>
    </row>
    <row r="382" spans="15:29" x14ac:dyDescent="0.25">
      <c r="O382">
        <f ca="1"/>
        <v>0</v>
      </c>
      <c r="P382">
        <f ca="1"/>
        <v>0</v>
      </c>
      <c r="Q382">
        <f ca="1"/>
        <v>0</v>
      </c>
      <c r="R382">
        <f ca="1"/>
        <v>0</v>
      </c>
      <c r="S382">
        <f ca="1"/>
        <v>0</v>
      </c>
      <c r="T382">
        <f ca="1"/>
        <v>0</v>
      </c>
      <c r="U382">
        <f ca="1"/>
        <v>0</v>
      </c>
      <c r="V382">
        <f ca="1"/>
        <v>0</v>
      </c>
      <c r="W382">
        <f ca="1"/>
        <v>0</v>
      </c>
      <c r="X382">
        <f ca="1"/>
        <v>0</v>
      </c>
      <c r="Y382">
        <f ca="1"/>
        <v>0</v>
      </c>
      <c r="Z382">
        <f ca="1"/>
        <v>0</v>
      </c>
      <c r="AA382">
        <f ca="1"/>
        <v>0</v>
      </c>
      <c r="AB382">
        <f ca="1"/>
        <v>0</v>
      </c>
      <c r="AC382">
        <f ca="1"/>
        <v>0</v>
      </c>
    </row>
    <row r="383" spans="15:29" x14ac:dyDescent="0.25">
      <c r="O383">
        <f ca="1"/>
        <v>0</v>
      </c>
      <c r="P383">
        <f ca="1"/>
        <v>0</v>
      </c>
      <c r="Q383">
        <f ca="1"/>
        <v>0</v>
      </c>
      <c r="R383">
        <f ca="1"/>
        <v>0</v>
      </c>
      <c r="S383">
        <f ca="1"/>
        <v>0</v>
      </c>
      <c r="T383">
        <f ca="1"/>
        <v>0</v>
      </c>
      <c r="U383">
        <f ca="1"/>
        <v>0</v>
      </c>
      <c r="V383">
        <f ca="1"/>
        <v>0</v>
      </c>
      <c r="W383">
        <f ca="1"/>
        <v>0</v>
      </c>
      <c r="X383">
        <f ca="1"/>
        <v>0</v>
      </c>
      <c r="Y383">
        <f ca="1"/>
        <v>0</v>
      </c>
      <c r="Z383">
        <f ca="1"/>
        <v>0</v>
      </c>
      <c r="AA383">
        <f ca="1"/>
        <v>0</v>
      </c>
      <c r="AB383">
        <f ca="1"/>
        <v>0</v>
      </c>
      <c r="AC383">
        <f ca="1"/>
        <v>0</v>
      </c>
    </row>
    <row r="384" spans="15:29" x14ac:dyDescent="0.25">
      <c r="O384">
        <f ca="1"/>
        <v>0</v>
      </c>
      <c r="P384">
        <f ca="1"/>
        <v>0</v>
      </c>
      <c r="Q384">
        <f ca="1"/>
        <v>0</v>
      </c>
      <c r="R384">
        <f ca="1"/>
        <v>0</v>
      </c>
      <c r="S384">
        <f ca="1"/>
        <v>0</v>
      </c>
      <c r="T384">
        <f ca="1"/>
        <v>0</v>
      </c>
      <c r="U384">
        <f ca="1"/>
        <v>0</v>
      </c>
      <c r="V384">
        <f ca="1"/>
        <v>0</v>
      </c>
      <c r="W384">
        <f ca="1"/>
        <v>0</v>
      </c>
      <c r="X384">
        <f ca="1"/>
        <v>0</v>
      </c>
      <c r="Y384">
        <f ca="1"/>
        <v>0</v>
      </c>
      <c r="Z384">
        <f ca="1"/>
        <v>0</v>
      </c>
      <c r="AA384">
        <f ca="1"/>
        <v>0</v>
      </c>
      <c r="AB384">
        <f ca="1"/>
        <v>0</v>
      </c>
      <c r="AC384">
        <f ca="1"/>
        <v>0</v>
      </c>
    </row>
    <row r="385" spans="15:29" x14ac:dyDescent="0.25">
      <c r="O385">
        <f ca="1"/>
        <v>0</v>
      </c>
      <c r="P385">
        <f ca="1"/>
        <v>0</v>
      </c>
      <c r="Q385">
        <f ca="1"/>
        <v>0</v>
      </c>
      <c r="R385">
        <f ca="1"/>
        <v>0</v>
      </c>
      <c r="S385">
        <f ca="1"/>
        <v>0</v>
      </c>
      <c r="T385">
        <f ca="1"/>
        <v>0</v>
      </c>
      <c r="U385">
        <f ca="1"/>
        <v>0</v>
      </c>
      <c r="V385">
        <f ca="1"/>
        <v>0</v>
      </c>
      <c r="W385">
        <f ca="1"/>
        <v>0</v>
      </c>
      <c r="X385">
        <f ca="1"/>
        <v>0</v>
      </c>
      <c r="Y385">
        <f ca="1"/>
        <v>0</v>
      </c>
      <c r="Z385">
        <f ca="1"/>
        <v>0</v>
      </c>
      <c r="AA385">
        <f ca="1"/>
        <v>0</v>
      </c>
      <c r="AB385">
        <f ca="1"/>
        <v>0</v>
      </c>
      <c r="AC385">
        <f ca="1"/>
        <v>0</v>
      </c>
    </row>
    <row r="386" spans="15:29" x14ac:dyDescent="0.25">
      <c r="O386">
        <f ca="1"/>
        <v>0</v>
      </c>
      <c r="P386">
        <f ca="1"/>
        <v>0</v>
      </c>
      <c r="Q386">
        <f ca="1"/>
        <v>0</v>
      </c>
      <c r="R386">
        <f ca="1"/>
        <v>0</v>
      </c>
      <c r="S386">
        <f ca="1"/>
        <v>0</v>
      </c>
      <c r="T386">
        <f ca="1"/>
        <v>0</v>
      </c>
      <c r="U386">
        <f ca="1"/>
        <v>0</v>
      </c>
      <c r="V386">
        <f ca="1"/>
        <v>0</v>
      </c>
      <c r="W386">
        <f ca="1"/>
        <v>0</v>
      </c>
      <c r="X386">
        <f ca="1"/>
        <v>0</v>
      </c>
      <c r="Y386">
        <f ca="1"/>
        <v>0</v>
      </c>
      <c r="Z386">
        <f ca="1"/>
        <v>0</v>
      </c>
      <c r="AA386">
        <f ca="1"/>
        <v>0</v>
      </c>
      <c r="AB386">
        <f ca="1"/>
        <v>0</v>
      </c>
      <c r="AC386">
        <f ca="1"/>
        <v>0</v>
      </c>
    </row>
    <row r="387" spans="15:29" x14ac:dyDescent="0.25">
      <c r="O387">
        <f ca="1"/>
        <v>0</v>
      </c>
      <c r="P387">
        <f ca="1"/>
        <v>0</v>
      </c>
      <c r="Q387">
        <f ca="1"/>
        <v>0</v>
      </c>
      <c r="R387">
        <f ca="1"/>
        <v>0</v>
      </c>
      <c r="S387">
        <f ca="1"/>
        <v>0</v>
      </c>
      <c r="T387">
        <f ca="1"/>
        <v>0</v>
      </c>
      <c r="U387">
        <f ca="1"/>
        <v>0</v>
      </c>
      <c r="V387">
        <f ca="1"/>
        <v>0</v>
      </c>
      <c r="W387">
        <f ca="1"/>
        <v>0</v>
      </c>
      <c r="X387">
        <f ca="1"/>
        <v>0</v>
      </c>
      <c r="Y387">
        <f ca="1"/>
        <v>0</v>
      </c>
      <c r="Z387">
        <f ca="1"/>
        <v>0</v>
      </c>
      <c r="AA387">
        <f ca="1"/>
        <v>0</v>
      </c>
      <c r="AB387">
        <f ca="1"/>
        <v>0</v>
      </c>
      <c r="AC387">
        <f ca="1"/>
        <v>0</v>
      </c>
    </row>
    <row r="388" spans="15:29" x14ac:dyDescent="0.25">
      <c r="O388">
        <f ca="1"/>
        <v>0</v>
      </c>
      <c r="P388">
        <f ca="1"/>
        <v>0</v>
      </c>
      <c r="Q388">
        <f ca="1"/>
        <v>0</v>
      </c>
      <c r="R388">
        <f ca="1"/>
        <v>0</v>
      </c>
      <c r="S388">
        <f ca="1"/>
        <v>0</v>
      </c>
      <c r="T388">
        <f ca="1"/>
        <v>0</v>
      </c>
      <c r="U388">
        <f ca="1"/>
        <v>0</v>
      </c>
      <c r="V388">
        <f ca="1"/>
        <v>0</v>
      </c>
      <c r="W388">
        <f ca="1"/>
        <v>0</v>
      </c>
      <c r="X388">
        <f ca="1"/>
        <v>0</v>
      </c>
      <c r="Y388">
        <f ca="1"/>
        <v>0</v>
      </c>
      <c r="Z388">
        <f ca="1"/>
        <v>0</v>
      </c>
      <c r="AA388">
        <f ca="1"/>
        <v>0</v>
      </c>
      <c r="AB388">
        <f ca="1"/>
        <v>0</v>
      </c>
      <c r="AC388">
        <f ca="1"/>
        <v>0</v>
      </c>
    </row>
    <row r="389" spans="15:29" x14ac:dyDescent="0.25">
      <c r="O389">
        <f ca="1"/>
        <v>0</v>
      </c>
      <c r="P389">
        <f ca="1"/>
        <v>0</v>
      </c>
      <c r="Q389">
        <f ca="1"/>
        <v>0</v>
      </c>
      <c r="R389">
        <f ca="1"/>
        <v>0</v>
      </c>
      <c r="S389">
        <f ca="1"/>
        <v>0</v>
      </c>
      <c r="T389">
        <f ca="1"/>
        <v>0</v>
      </c>
      <c r="U389">
        <f ca="1"/>
        <v>0</v>
      </c>
      <c r="V389">
        <f ca="1"/>
        <v>0</v>
      </c>
      <c r="W389">
        <f ca="1"/>
        <v>0</v>
      </c>
      <c r="X389">
        <f ca="1"/>
        <v>0</v>
      </c>
      <c r="Y389">
        <f ca="1"/>
        <v>0</v>
      </c>
      <c r="Z389">
        <f ca="1"/>
        <v>0</v>
      </c>
      <c r="AA389">
        <f ca="1"/>
        <v>0</v>
      </c>
      <c r="AB389">
        <f ca="1"/>
        <v>0</v>
      </c>
      <c r="AC389">
        <f ca="1"/>
        <v>0</v>
      </c>
    </row>
    <row r="390" spans="15:29" x14ac:dyDescent="0.25">
      <c r="O390">
        <f ca="1"/>
        <v>0</v>
      </c>
      <c r="P390">
        <f ca="1"/>
        <v>0</v>
      </c>
      <c r="Q390">
        <f ca="1"/>
        <v>0</v>
      </c>
      <c r="R390">
        <f ca="1"/>
        <v>0</v>
      </c>
      <c r="S390">
        <f ca="1"/>
        <v>0</v>
      </c>
      <c r="T390">
        <f ca="1"/>
        <v>0</v>
      </c>
      <c r="U390">
        <f ca="1"/>
        <v>0</v>
      </c>
      <c r="V390">
        <f ca="1"/>
        <v>0</v>
      </c>
      <c r="W390">
        <f ca="1"/>
        <v>0</v>
      </c>
      <c r="X390">
        <f ca="1"/>
        <v>0</v>
      </c>
      <c r="Y390">
        <f ca="1"/>
        <v>0</v>
      </c>
      <c r="Z390">
        <f ca="1"/>
        <v>0</v>
      </c>
      <c r="AA390">
        <f ca="1"/>
        <v>0</v>
      </c>
      <c r="AB390">
        <f ca="1"/>
        <v>0</v>
      </c>
      <c r="AC390">
        <f ca="1"/>
        <v>0</v>
      </c>
    </row>
    <row r="391" spans="15:29" x14ac:dyDescent="0.25">
      <c r="O391">
        <f ca="1"/>
        <v>0</v>
      </c>
      <c r="P391">
        <f ca="1"/>
        <v>0</v>
      </c>
      <c r="Q391">
        <f ca="1"/>
        <v>0</v>
      </c>
      <c r="R391">
        <f ca="1"/>
        <v>0</v>
      </c>
      <c r="S391">
        <f ca="1"/>
        <v>0</v>
      </c>
      <c r="T391">
        <f ca="1"/>
        <v>0</v>
      </c>
      <c r="U391">
        <f ca="1"/>
        <v>0</v>
      </c>
      <c r="V391">
        <f ca="1"/>
        <v>0</v>
      </c>
      <c r="W391">
        <f ca="1"/>
        <v>0</v>
      </c>
      <c r="X391">
        <f ca="1"/>
        <v>0</v>
      </c>
      <c r="Y391">
        <f ca="1"/>
        <v>0</v>
      </c>
      <c r="Z391">
        <f ca="1"/>
        <v>0</v>
      </c>
      <c r="AA391">
        <f ca="1"/>
        <v>0</v>
      </c>
      <c r="AB391">
        <f ca="1"/>
        <v>0</v>
      </c>
      <c r="AC391">
        <f ca="1"/>
        <v>0</v>
      </c>
    </row>
    <row r="392" spans="15:29" x14ac:dyDescent="0.25">
      <c r="O392">
        <f ca="1"/>
        <v>0</v>
      </c>
      <c r="P392">
        <f ca="1"/>
        <v>0</v>
      </c>
      <c r="Q392">
        <f ca="1"/>
        <v>0</v>
      </c>
      <c r="R392">
        <f ca="1"/>
        <v>0</v>
      </c>
      <c r="S392">
        <f ca="1"/>
        <v>0</v>
      </c>
      <c r="T392">
        <f ca="1"/>
        <v>0</v>
      </c>
      <c r="U392">
        <f ca="1"/>
        <v>0</v>
      </c>
      <c r="V392">
        <f ca="1"/>
        <v>0</v>
      </c>
      <c r="W392">
        <f ca="1"/>
        <v>0</v>
      </c>
      <c r="X392">
        <f ca="1"/>
        <v>0</v>
      </c>
      <c r="Y392">
        <f ca="1"/>
        <v>0</v>
      </c>
      <c r="Z392">
        <f ca="1"/>
        <v>0</v>
      </c>
      <c r="AA392">
        <f ca="1"/>
        <v>0</v>
      </c>
      <c r="AB392">
        <f ca="1"/>
        <v>0</v>
      </c>
      <c r="AC392">
        <f ca="1"/>
        <v>0</v>
      </c>
    </row>
    <row r="393" spans="15:29" x14ac:dyDescent="0.25">
      <c r="O393">
        <f ca="1"/>
        <v>0</v>
      </c>
      <c r="P393">
        <f ca="1"/>
        <v>0</v>
      </c>
      <c r="Q393">
        <f ca="1"/>
        <v>0</v>
      </c>
      <c r="R393">
        <f ca="1"/>
        <v>0</v>
      </c>
      <c r="S393">
        <f ca="1"/>
        <v>0</v>
      </c>
      <c r="T393">
        <f ca="1"/>
        <v>0</v>
      </c>
      <c r="U393">
        <f ca="1"/>
        <v>0</v>
      </c>
      <c r="V393">
        <f ca="1"/>
        <v>0</v>
      </c>
      <c r="W393">
        <f ca="1"/>
        <v>0</v>
      </c>
      <c r="X393">
        <f ca="1"/>
        <v>0</v>
      </c>
      <c r="Y393">
        <f ca="1"/>
        <v>0</v>
      </c>
      <c r="Z393">
        <f ca="1"/>
        <v>0</v>
      </c>
      <c r="AA393">
        <f ca="1"/>
        <v>0</v>
      </c>
      <c r="AB393">
        <f ca="1"/>
        <v>0</v>
      </c>
      <c r="AC393">
        <f ca="1"/>
        <v>0</v>
      </c>
    </row>
    <row r="394" spans="15:29" x14ac:dyDescent="0.25">
      <c r="O394">
        <f ca="1"/>
        <v>0</v>
      </c>
      <c r="P394">
        <f ca="1"/>
        <v>0</v>
      </c>
      <c r="Q394">
        <f ca="1"/>
        <v>0</v>
      </c>
      <c r="R394">
        <f ca="1"/>
        <v>0</v>
      </c>
      <c r="S394">
        <f ca="1"/>
        <v>0</v>
      </c>
      <c r="T394">
        <f ca="1"/>
        <v>0</v>
      </c>
      <c r="U394">
        <f ca="1"/>
        <v>0</v>
      </c>
      <c r="V394">
        <f ca="1"/>
        <v>0</v>
      </c>
      <c r="W394">
        <f ca="1"/>
        <v>0</v>
      </c>
      <c r="X394">
        <f ca="1"/>
        <v>0</v>
      </c>
      <c r="Y394">
        <f ca="1"/>
        <v>0</v>
      </c>
      <c r="Z394">
        <f ca="1"/>
        <v>0</v>
      </c>
      <c r="AA394">
        <f ca="1"/>
        <v>0</v>
      </c>
      <c r="AB394">
        <f ca="1"/>
        <v>0</v>
      </c>
      <c r="AC394">
        <f ca="1"/>
        <v>0</v>
      </c>
    </row>
    <row r="395" spans="15:29" x14ac:dyDescent="0.25">
      <c r="O395">
        <f ca="1"/>
        <v>0</v>
      </c>
      <c r="P395">
        <f ca="1"/>
        <v>0</v>
      </c>
      <c r="Q395">
        <f ca="1"/>
        <v>0</v>
      </c>
      <c r="R395">
        <f ca="1"/>
        <v>0</v>
      </c>
      <c r="S395">
        <f ca="1"/>
        <v>0</v>
      </c>
      <c r="T395">
        <f ca="1"/>
        <v>0</v>
      </c>
      <c r="U395">
        <f ca="1"/>
        <v>0</v>
      </c>
      <c r="V395">
        <f ca="1"/>
        <v>0</v>
      </c>
      <c r="W395">
        <f ca="1"/>
        <v>0</v>
      </c>
      <c r="X395">
        <f ca="1"/>
        <v>0</v>
      </c>
      <c r="Y395">
        <f ca="1"/>
        <v>0</v>
      </c>
      <c r="Z395">
        <f ca="1"/>
        <v>0</v>
      </c>
      <c r="AA395">
        <f ca="1"/>
        <v>0</v>
      </c>
      <c r="AB395">
        <f ca="1"/>
        <v>0</v>
      </c>
      <c r="AC395">
        <f ca="1"/>
        <v>0</v>
      </c>
    </row>
    <row r="396" spans="15:29" x14ac:dyDescent="0.25">
      <c r="O396">
        <f ca="1"/>
        <v>0</v>
      </c>
      <c r="P396">
        <f ca="1"/>
        <v>0</v>
      </c>
      <c r="Q396">
        <f ca="1"/>
        <v>0</v>
      </c>
      <c r="R396">
        <f ca="1"/>
        <v>0</v>
      </c>
      <c r="S396">
        <f ca="1"/>
        <v>0</v>
      </c>
      <c r="T396">
        <f ca="1"/>
        <v>0</v>
      </c>
      <c r="U396">
        <f ca="1"/>
        <v>0</v>
      </c>
      <c r="V396">
        <f ca="1"/>
        <v>0</v>
      </c>
      <c r="W396">
        <f ca="1"/>
        <v>0</v>
      </c>
      <c r="X396">
        <f ca="1"/>
        <v>0</v>
      </c>
      <c r="Y396">
        <f ca="1"/>
        <v>0</v>
      </c>
      <c r="Z396">
        <f ca="1"/>
        <v>0</v>
      </c>
      <c r="AA396">
        <f ca="1"/>
        <v>0</v>
      </c>
      <c r="AB396">
        <f ca="1"/>
        <v>0</v>
      </c>
      <c r="AC396">
        <f ca="1"/>
        <v>0</v>
      </c>
    </row>
    <row r="397" spans="15:29" x14ac:dyDescent="0.25">
      <c r="O397">
        <f ca="1"/>
        <v>0</v>
      </c>
      <c r="P397">
        <f ca="1"/>
        <v>0</v>
      </c>
      <c r="Q397">
        <f ca="1"/>
        <v>0</v>
      </c>
      <c r="R397">
        <f ca="1"/>
        <v>0</v>
      </c>
      <c r="S397">
        <f ca="1"/>
        <v>0</v>
      </c>
      <c r="T397">
        <f ca="1"/>
        <v>0</v>
      </c>
      <c r="U397">
        <f ca="1"/>
        <v>0</v>
      </c>
      <c r="V397">
        <f ca="1"/>
        <v>0</v>
      </c>
      <c r="W397">
        <f ca="1"/>
        <v>0</v>
      </c>
      <c r="X397">
        <f ca="1"/>
        <v>0</v>
      </c>
      <c r="Y397">
        <f ca="1"/>
        <v>0</v>
      </c>
      <c r="Z397">
        <f ca="1"/>
        <v>0</v>
      </c>
      <c r="AA397">
        <f ca="1"/>
        <v>0</v>
      </c>
      <c r="AB397">
        <f ca="1"/>
        <v>0</v>
      </c>
      <c r="AC397">
        <f ca="1"/>
        <v>0</v>
      </c>
    </row>
    <row r="398" spans="15:29" x14ac:dyDescent="0.25">
      <c r="O398">
        <f ca="1"/>
        <v>0</v>
      </c>
      <c r="P398">
        <f ca="1"/>
        <v>0</v>
      </c>
      <c r="Q398">
        <f ca="1"/>
        <v>0</v>
      </c>
      <c r="R398">
        <f ca="1"/>
        <v>0</v>
      </c>
      <c r="S398">
        <f ca="1"/>
        <v>0</v>
      </c>
      <c r="T398">
        <f ca="1"/>
        <v>0</v>
      </c>
      <c r="U398">
        <f ca="1"/>
        <v>0</v>
      </c>
      <c r="V398">
        <f ca="1"/>
        <v>0</v>
      </c>
      <c r="W398">
        <f ca="1"/>
        <v>0</v>
      </c>
      <c r="X398">
        <f ca="1"/>
        <v>0</v>
      </c>
      <c r="Y398">
        <f ca="1"/>
        <v>0</v>
      </c>
      <c r="Z398">
        <f ca="1"/>
        <v>0</v>
      </c>
      <c r="AA398">
        <f ca="1"/>
        <v>0</v>
      </c>
      <c r="AB398">
        <f ca="1"/>
        <v>0</v>
      </c>
      <c r="AC398">
        <f ca="1"/>
        <v>0</v>
      </c>
    </row>
    <row r="399" spans="15:29" x14ac:dyDescent="0.25">
      <c r="O399">
        <f ca="1"/>
        <v>0</v>
      </c>
      <c r="P399">
        <f ca="1"/>
        <v>0</v>
      </c>
      <c r="Q399">
        <f ca="1"/>
        <v>0</v>
      </c>
      <c r="R399">
        <f ca="1"/>
        <v>0</v>
      </c>
      <c r="S399">
        <f ca="1"/>
        <v>0</v>
      </c>
      <c r="T399">
        <f ca="1"/>
        <v>0</v>
      </c>
      <c r="U399">
        <f ca="1"/>
        <v>0</v>
      </c>
      <c r="V399">
        <f ca="1"/>
        <v>0</v>
      </c>
      <c r="W399">
        <f ca="1"/>
        <v>0</v>
      </c>
      <c r="X399">
        <f ca="1"/>
        <v>0</v>
      </c>
      <c r="Y399">
        <f ca="1"/>
        <v>0</v>
      </c>
      <c r="Z399">
        <f ca="1"/>
        <v>0</v>
      </c>
      <c r="AA399">
        <f ca="1"/>
        <v>0</v>
      </c>
      <c r="AB399">
        <f ca="1"/>
        <v>0</v>
      </c>
      <c r="AC399">
        <f ca="1"/>
        <v>0</v>
      </c>
    </row>
    <row r="400" spans="15:29" x14ac:dyDescent="0.25">
      <c r="O400">
        <f ca="1"/>
        <v>0</v>
      </c>
      <c r="P400">
        <f ca="1"/>
        <v>0</v>
      </c>
      <c r="Q400">
        <f ca="1"/>
        <v>0</v>
      </c>
      <c r="R400">
        <f ca="1"/>
        <v>0</v>
      </c>
      <c r="S400">
        <f ca="1"/>
        <v>0</v>
      </c>
      <c r="T400">
        <f ca="1"/>
        <v>0</v>
      </c>
      <c r="U400">
        <f ca="1"/>
        <v>0</v>
      </c>
      <c r="V400">
        <f ca="1"/>
        <v>0</v>
      </c>
      <c r="W400">
        <f ca="1"/>
        <v>0</v>
      </c>
      <c r="X400">
        <f ca="1"/>
        <v>0</v>
      </c>
      <c r="Y400">
        <f ca="1"/>
        <v>0</v>
      </c>
      <c r="Z400">
        <f ca="1"/>
        <v>0</v>
      </c>
      <c r="AA400">
        <f ca="1"/>
        <v>0</v>
      </c>
      <c r="AB400">
        <f ca="1"/>
        <v>0</v>
      </c>
      <c r="AC400">
        <f ca="1"/>
        <v>0</v>
      </c>
    </row>
    <row r="401" spans="15:29" x14ac:dyDescent="0.25">
      <c r="O401">
        <f ca="1"/>
        <v>0</v>
      </c>
      <c r="P401">
        <f ca="1"/>
        <v>0</v>
      </c>
      <c r="Q401">
        <f ca="1"/>
        <v>0</v>
      </c>
      <c r="R401">
        <f ca="1"/>
        <v>0</v>
      </c>
      <c r="S401">
        <f ca="1"/>
        <v>0</v>
      </c>
      <c r="T401">
        <f ca="1"/>
        <v>0</v>
      </c>
      <c r="U401">
        <f ca="1"/>
        <v>0</v>
      </c>
      <c r="V401">
        <f ca="1"/>
        <v>0</v>
      </c>
      <c r="W401">
        <f ca="1"/>
        <v>0</v>
      </c>
      <c r="X401">
        <f ca="1"/>
        <v>0</v>
      </c>
      <c r="Y401">
        <f ca="1"/>
        <v>0</v>
      </c>
      <c r="Z401">
        <f ca="1"/>
        <v>0</v>
      </c>
      <c r="AA401">
        <f ca="1"/>
        <v>0</v>
      </c>
      <c r="AB401">
        <f ca="1"/>
        <v>0</v>
      </c>
      <c r="AC401">
        <f ca="1"/>
        <v>0</v>
      </c>
    </row>
    <row r="402" spans="15:29" x14ac:dyDescent="0.25">
      <c r="O402">
        <f ca="1"/>
        <v>0</v>
      </c>
      <c r="P402">
        <f ca="1"/>
        <v>0</v>
      </c>
      <c r="Q402">
        <f ca="1"/>
        <v>0</v>
      </c>
      <c r="R402">
        <f ca="1"/>
        <v>0</v>
      </c>
      <c r="S402">
        <f ca="1"/>
        <v>0</v>
      </c>
      <c r="T402">
        <f ca="1"/>
        <v>0</v>
      </c>
      <c r="U402">
        <f ca="1"/>
        <v>0</v>
      </c>
      <c r="V402">
        <f ca="1"/>
        <v>0</v>
      </c>
      <c r="W402">
        <f ca="1"/>
        <v>0</v>
      </c>
      <c r="X402">
        <f ca="1"/>
        <v>0</v>
      </c>
      <c r="Y402">
        <f ca="1"/>
        <v>0</v>
      </c>
      <c r="Z402">
        <f ca="1"/>
        <v>0</v>
      </c>
      <c r="AA402">
        <f ca="1"/>
        <v>0</v>
      </c>
      <c r="AB402">
        <f ca="1"/>
        <v>0</v>
      </c>
      <c r="AC402">
        <f ca="1"/>
        <v>0</v>
      </c>
    </row>
    <row r="403" spans="15:29" x14ac:dyDescent="0.25">
      <c r="O403">
        <f ca="1"/>
        <v>0</v>
      </c>
      <c r="P403">
        <f ca="1"/>
        <v>0</v>
      </c>
      <c r="Q403">
        <f ca="1"/>
        <v>0</v>
      </c>
      <c r="R403">
        <f ca="1"/>
        <v>0</v>
      </c>
      <c r="S403">
        <f ca="1"/>
        <v>0</v>
      </c>
      <c r="T403">
        <f ca="1"/>
        <v>0</v>
      </c>
      <c r="U403">
        <f ca="1"/>
        <v>0</v>
      </c>
      <c r="V403">
        <f ca="1"/>
        <v>0</v>
      </c>
      <c r="W403">
        <f ca="1"/>
        <v>0</v>
      </c>
      <c r="X403">
        <f ca="1"/>
        <v>0</v>
      </c>
      <c r="Y403">
        <f ca="1"/>
        <v>0</v>
      </c>
      <c r="Z403">
        <f ca="1"/>
        <v>0</v>
      </c>
      <c r="AA403">
        <f ca="1"/>
        <v>0</v>
      </c>
      <c r="AB403">
        <f ca="1"/>
        <v>0</v>
      </c>
      <c r="AC403">
        <f ca="1"/>
        <v>0</v>
      </c>
    </row>
    <row r="404" spans="15:29" x14ac:dyDescent="0.25">
      <c r="O404">
        <f ca="1"/>
        <v>0</v>
      </c>
      <c r="P404">
        <f ca="1"/>
        <v>0</v>
      </c>
      <c r="Q404">
        <f ca="1"/>
        <v>0</v>
      </c>
      <c r="R404">
        <f ca="1"/>
        <v>0</v>
      </c>
      <c r="S404">
        <f ca="1"/>
        <v>0</v>
      </c>
      <c r="T404">
        <f ca="1"/>
        <v>0</v>
      </c>
      <c r="U404">
        <f ca="1"/>
        <v>0</v>
      </c>
      <c r="V404">
        <f ca="1"/>
        <v>0</v>
      </c>
      <c r="W404">
        <f ca="1"/>
        <v>0</v>
      </c>
      <c r="X404">
        <f ca="1"/>
        <v>0</v>
      </c>
      <c r="Y404">
        <f ca="1"/>
        <v>0</v>
      </c>
      <c r="Z404">
        <f ca="1"/>
        <v>0</v>
      </c>
      <c r="AA404">
        <f ca="1"/>
        <v>0</v>
      </c>
      <c r="AB404">
        <f ca="1"/>
        <v>0</v>
      </c>
      <c r="AC404">
        <f ca="1"/>
        <v>0</v>
      </c>
    </row>
    <row r="405" spans="15:29" x14ac:dyDescent="0.25">
      <c r="O405">
        <f ca="1"/>
        <v>0</v>
      </c>
      <c r="P405">
        <f ca="1"/>
        <v>0</v>
      </c>
      <c r="Q405">
        <f ca="1"/>
        <v>0</v>
      </c>
      <c r="R405">
        <f ca="1"/>
        <v>0</v>
      </c>
      <c r="S405">
        <f ca="1"/>
        <v>0</v>
      </c>
      <c r="T405">
        <f ca="1"/>
        <v>0</v>
      </c>
      <c r="U405">
        <f ca="1"/>
        <v>0</v>
      </c>
      <c r="V405">
        <f ca="1"/>
        <v>0</v>
      </c>
      <c r="W405">
        <f ca="1"/>
        <v>0</v>
      </c>
      <c r="X405">
        <f ca="1"/>
        <v>0</v>
      </c>
      <c r="Y405">
        <f ca="1"/>
        <v>0</v>
      </c>
      <c r="Z405">
        <f ca="1"/>
        <v>0</v>
      </c>
      <c r="AA405">
        <f ca="1"/>
        <v>0</v>
      </c>
      <c r="AB405">
        <f ca="1"/>
        <v>0</v>
      </c>
      <c r="AC405">
        <f ca="1"/>
        <v>0</v>
      </c>
    </row>
    <row r="406" spans="15:29" x14ac:dyDescent="0.25">
      <c r="O406">
        <f ca="1"/>
        <v>0</v>
      </c>
      <c r="P406">
        <f ca="1"/>
        <v>0</v>
      </c>
      <c r="Q406">
        <f ca="1"/>
        <v>0</v>
      </c>
      <c r="R406">
        <f ca="1"/>
        <v>0</v>
      </c>
      <c r="S406">
        <f ca="1"/>
        <v>0</v>
      </c>
      <c r="T406">
        <f ca="1"/>
        <v>0</v>
      </c>
      <c r="U406">
        <f ca="1"/>
        <v>0</v>
      </c>
      <c r="V406">
        <f ca="1"/>
        <v>0</v>
      </c>
      <c r="W406">
        <f ca="1"/>
        <v>0</v>
      </c>
      <c r="X406">
        <f ca="1"/>
        <v>0</v>
      </c>
      <c r="Y406">
        <f ca="1"/>
        <v>0</v>
      </c>
      <c r="Z406">
        <f ca="1"/>
        <v>0</v>
      </c>
      <c r="AA406">
        <f ca="1"/>
        <v>0</v>
      </c>
      <c r="AB406">
        <f ca="1"/>
        <v>0</v>
      </c>
      <c r="AC406">
        <f ca="1"/>
        <v>0</v>
      </c>
    </row>
    <row r="407" spans="15:29" x14ac:dyDescent="0.25">
      <c r="O407">
        <f ca="1"/>
        <v>0</v>
      </c>
      <c r="P407">
        <f ca="1"/>
        <v>0</v>
      </c>
      <c r="Q407">
        <f ca="1"/>
        <v>0</v>
      </c>
      <c r="R407">
        <f ca="1"/>
        <v>0</v>
      </c>
      <c r="S407">
        <f ca="1"/>
        <v>0</v>
      </c>
      <c r="T407">
        <f ca="1"/>
        <v>0</v>
      </c>
      <c r="U407">
        <f ca="1"/>
        <v>0</v>
      </c>
      <c r="V407">
        <f ca="1"/>
        <v>0</v>
      </c>
      <c r="W407">
        <f ca="1"/>
        <v>0</v>
      </c>
      <c r="X407">
        <f ca="1"/>
        <v>0</v>
      </c>
      <c r="Y407">
        <f ca="1"/>
        <v>0</v>
      </c>
      <c r="Z407">
        <f ca="1"/>
        <v>0</v>
      </c>
      <c r="AA407">
        <f ca="1"/>
        <v>0</v>
      </c>
      <c r="AB407">
        <f ca="1"/>
        <v>0</v>
      </c>
      <c r="AC407">
        <f ca="1"/>
        <v>0</v>
      </c>
    </row>
    <row r="408" spans="15:29" x14ac:dyDescent="0.25">
      <c r="O408">
        <f ca="1"/>
        <v>0</v>
      </c>
      <c r="P408">
        <f ca="1"/>
        <v>0</v>
      </c>
      <c r="Q408">
        <f ca="1"/>
        <v>0</v>
      </c>
      <c r="R408">
        <f ca="1"/>
        <v>0</v>
      </c>
      <c r="S408">
        <f ca="1"/>
        <v>0</v>
      </c>
      <c r="T408">
        <f ca="1"/>
        <v>0</v>
      </c>
      <c r="U408">
        <f ca="1"/>
        <v>0</v>
      </c>
      <c r="V408">
        <f ca="1"/>
        <v>0</v>
      </c>
      <c r="W408">
        <f ca="1"/>
        <v>0</v>
      </c>
      <c r="X408">
        <f ca="1"/>
        <v>0</v>
      </c>
      <c r="Y408">
        <f ca="1"/>
        <v>0</v>
      </c>
      <c r="Z408">
        <f ca="1"/>
        <v>0</v>
      </c>
      <c r="AA408">
        <f ca="1"/>
        <v>0</v>
      </c>
      <c r="AB408">
        <f ca="1"/>
        <v>0</v>
      </c>
      <c r="AC408">
        <f ca="1"/>
        <v>0</v>
      </c>
    </row>
    <row r="409" spans="15:29" x14ac:dyDescent="0.25">
      <c r="O409">
        <f ca="1"/>
        <v>0</v>
      </c>
      <c r="P409">
        <f ca="1"/>
        <v>0</v>
      </c>
      <c r="Q409">
        <f ca="1"/>
        <v>0</v>
      </c>
      <c r="R409">
        <f ca="1"/>
        <v>0</v>
      </c>
      <c r="S409">
        <f ca="1"/>
        <v>0</v>
      </c>
      <c r="T409">
        <f ca="1"/>
        <v>0</v>
      </c>
      <c r="U409">
        <f ca="1"/>
        <v>0</v>
      </c>
      <c r="V409">
        <f ca="1"/>
        <v>0</v>
      </c>
      <c r="W409">
        <f ca="1"/>
        <v>0</v>
      </c>
      <c r="X409">
        <f ca="1"/>
        <v>0</v>
      </c>
      <c r="Y409">
        <f ca="1"/>
        <v>0</v>
      </c>
      <c r="Z409">
        <f ca="1"/>
        <v>0</v>
      </c>
      <c r="AA409">
        <f ca="1"/>
        <v>0</v>
      </c>
      <c r="AB409">
        <f ca="1"/>
        <v>0</v>
      </c>
      <c r="AC409">
        <f ca="1"/>
        <v>0</v>
      </c>
    </row>
    <row r="410" spans="15:29" x14ac:dyDescent="0.25">
      <c r="O410">
        <f ca="1"/>
        <v>0</v>
      </c>
      <c r="P410">
        <f ca="1"/>
        <v>0</v>
      </c>
      <c r="Q410">
        <f ca="1"/>
        <v>0</v>
      </c>
      <c r="R410">
        <f ca="1"/>
        <v>0</v>
      </c>
      <c r="S410">
        <f ca="1"/>
        <v>0</v>
      </c>
      <c r="T410">
        <f ca="1"/>
        <v>0</v>
      </c>
      <c r="U410">
        <f ca="1"/>
        <v>0</v>
      </c>
      <c r="V410">
        <f ca="1"/>
        <v>0</v>
      </c>
      <c r="W410">
        <f ca="1"/>
        <v>0</v>
      </c>
      <c r="X410">
        <f ca="1"/>
        <v>0</v>
      </c>
      <c r="Y410">
        <f ca="1"/>
        <v>0</v>
      </c>
      <c r="Z410">
        <f ca="1"/>
        <v>0</v>
      </c>
      <c r="AA410">
        <f ca="1"/>
        <v>0</v>
      </c>
      <c r="AB410">
        <f ca="1"/>
        <v>0</v>
      </c>
      <c r="AC410">
        <f ca="1"/>
        <v>0</v>
      </c>
    </row>
    <row r="411" spans="15:29" x14ac:dyDescent="0.25">
      <c r="O411">
        <f ca="1"/>
        <v>0</v>
      </c>
      <c r="P411">
        <f ca="1"/>
        <v>0</v>
      </c>
      <c r="Q411">
        <f ca="1"/>
        <v>0</v>
      </c>
      <c r="R411">
        <f ca="1"/>
        <v>0</v>
      </c>
      <c r="S411">
        <f ca="1"/>
        <v>0</v>
      </c>
      <c r="T411">
        <f ca="1"/>
        <v>0</v>
      </c>
      <c r="U411">
        <f ca="1"/>
        <v>0</v>
      </c>
      <c r="V411">
        <f ca="1"/>
        <v>0</v>
      </c>
      <c r="W411">
        <f ca="1"/>
        <v>0</v>
      </c>
      <c r="X411">
        <f ca="1"/>
        <v>0</v>
      </c>
      <c r="Y411">
        <f ca="1"/>
        <v>0</v>
      </c>
      <c r="Z411">
        <f ca="1"/>
        <v>0</v>
      </c>
      <c r="AA411">
        <f ca="1"/>
        <v>0</v>
      </c>
      <c r="AB411">
        <f ca="1"/>
        <v>0</v>
      </c>
      <c r="AC411">
        <f ca="1"/>
        <v>0</v>
      </c>
    </row>
    <row r="412" spans="15:29" x14ac:dyDescent="0.25">
      <c r="O412">
        <f ca="1"/>
        <v>0</v>
      </c>
      <c r="P412">
        <f ca="1"/>
        <v>0</v>
      </c>
      <c r="Q412">
        <f ca="1"/>
        <v>0</v>
      </c>
      <c r="R412">
        <f ca="1"/>
        <v>0</v>
      </c>
      <c r="S412">
        <f ca="1"/>
        <v>0</v>
      </c>
      <c r="T412">
        <f ca="1"/>
        <v>0</v>
      </c>
      <c r="U412">
        <f ca="1"/>
        <v>0</v>
      </c>
      <c r="V412">
        <f ca="1"/>
        <v>0</v>
      </c>
      <c r="W412">
        <f ca="1"/>
        <v>0</v>
      </c>
      <c r="X412">
        <f ca="1"/>
        <v>0</v>
      </c>
      <c r="Y412">
        <f ca="1"/>
        <v>0</v>
      </c>
      <c r="Z412">
        <f ca="1"/>
        <v>0</v>
      </c>
      <c r="AA412">
        <f ca="1"/>
        <v>0</v>
      </c>
      <c r="AB412">
        <f ca="1"/>
        <v>0</v>
      </c>
      <c r="AC412">
        <f ca="1"/>
        <v>0</v>
      </c>
    </row>
    <row r="413" spans="15:29" x14ac:dyDescent="0.25">
      <c r="O413">
        <f ca="1"/>
        <v>0</v>
      </c>
      <c r="P413">
        <f ca="1"/>
        <v>0</v>
      </c>
      <c r="Q413">
        <f ca="1"/>
        <v>0</v>
      </c>
      <c r="R413">
        <f ca="1"/>
        <v>0</v>
      </c>
      <c r="S413">
        <f ca="1"/>
        <v>0</v>
      </c>
      <c r="T413">
        <f ca="1"/>
        <v>0</v>
      </c>
      <c r="U413">
        <f ca="1"/>
        <v>0</v>
      </c>
      <c r="V413">
        <f ca="1"/>
        <v>0</v>
      </c>
      <c r="W413">
        <f ca="1"/>
        <v>0</v>
      </c>
      <c r="X413">
        <f ca="1"/>
        <v>0</v>
      </c>
      <c r="Y413">
        <f ca="1"/>
        <v>0</v>
      </c>
      <c r="Z413">
        <f ca="1"/>
        <v>0</v>
      </c>
      <c r="AA413">
        <f ca="1"/>
        <v>0</v>
      </c>
      <c r="AB413">
        <f ca="1"/>
        <v>0</v>
      </c>
      <c r="AC413">
        <f ca="1"/>
        <v>0</v>
      </c>
    </row>
    <row r="414" spans="15:29" x14ac:dyDescent="0.25">
      <c r="O414">
        <f ca="1"/>
        <v>0</v>
      </c>
      <c r="P414">
        <f ca="1"/>
        <v>0</v>
      </c>
      <c r="Q414">
        <f ca="1"/>
        <v>0</v>
      </c>
      <c r="R414">
        <f ca="1"/>
        <v>0</v>
      </c>
      <c r="S414">
        <f ca="1"/>
        <v>0</v>
      </c>
      <c r="T414">
        <f ca="1"/>
        <v>0</v>
      </c>
      <c r="U414">
        <f ca="1"/>
        <v>0</v>
      </c>
      <c r="V414">
        <f ca="1"/>
        <v>0</v>
      </c>
      <c r="W414">
        <f ca="1"/>
        <v>0</v>
      </c>
      <c r="X414">
        <f ca="1"/>
        <v>0</v>
      </c>
      <c r="Y414">
        <f ca="1"/>
        <v>0</v>
      </c>
      <c r="Z414">
        <f ca="1"/>
        <v>0</v>
      </c>
      <c r="AA414">
        <f ca="1"/>
        <v>0</v>
      </c>
      <c r="AB414">
        <f ca="1"/>
        <v>0</v>
      </c>
      <c r="AC414">
        <f ca="1"/>
        <v>0</v>
      </c>
    </row>
    <row r="415" spans="15:29" x14ac:dyDescent="0.25">
      <c r="O415">
        <f ca="1"/>
        <v>0</v>
      </c>
      <c r="P415">
        <f ca="1"/>
        <v>0</v>
      </c>
      <c r="Q415">
        <f ca="1"/>
        <v>0</v>
      </c>
      <c r="R415">
        <f ca="1"/>
        <v>0</v>
      </c>
      <c r="S415">
        <f ca="1"/>
        <v>0</v>
      </c>
      <c r="T415">
        <f ca="1"/>
        <v>0</v>
      </c>
      <c r="U415">
        <f ca="1"/>
        <v>0</v>
      </c>
      <c r="V415">
        <f ca="1"/>
        <v>0</v>
      </c>
      <c r="W415">
        <f ca="1"/>
        <v>0</v>
      </c>
      <c r="X415">
        <f ca="1"/>
        <v>0</v>
      </c>
      <c r="Y415">
        <f ca="1"/>
        <v>0</v>
      </c>
      <c r="Z415">
        <f ca="1"/>
        <v>0</v>
      </c>
      <c r="AA415">
        <f ca="1"/>
        <v>0</v>
      </c>
      <c r="AB415">
        <f ca="1"/>
        <v>0</v>
      </c>
      <c r="AC415">
        <f ca="1"/>
        <v>0</v>
      </c>
    </row>
    <row r="416" spans="15:29" x14ac:dyDescent="0.25">
      <c r="O416">
        <f ca="1"/>
        <v>0</v>
      </c>
      <c r="P416">
        <f ca="1"/>
        <v>0</v>
      </c>
      <c r="Q416">
        <f ca="1"/>
        <v>0</v>
      </c>
      <c r="R416">
        <f ca="1"/>
        <v>0</v>
      </c>
      <c r="S416">
        <f ca="1"/>
        <v>0</v>
      </c>
      <c r="T416">
        <f ca="1"/>
        <v>0</v>
      </c>
      <c r="U416">
        <f ca="1"/>
        <v>0</v>
      </c>
      <c r="V416">
        <f ca="1"/>
        <v>0</v>
      </c>
      <c r="W416">
        <f ca="1"/>
        <v>0</v>
      </c>
      <c r="X416">
        <f ca="1"/>
        <v>0</v>
      </c>
      <c r="Y416">
        <f ca="1"/>
        <v>0</v>
      </c>
      <c r="Z416">
        <f ca="1"/>
        <v>0</v>
      </c>
      <c r="AA416">
        <f ca="1"/>
        <v>0</v>
      </c>
      <c r="AB416">
        <f ca="1"/>
        <v>0</v>
      </c>
      <c r="AC416">
        <f ca="1"/>
        <v>0</v>
      </c>
    </row>
    <row r="417" spans="15:29" x14ac:dyDescent="0.25">
      <c r="O417">
        <f ca="1"/>
        <v>0</v>
      </c>
      <c r="P417">
        <f ca="1"/>
        <v>0</v>
      </c>
      <c r="Q417">
        <f ca="1"/>
        <v>0</v>
      </c>
      <c r="R417">
        <f ca="1"/>
        <v>0</v>
      </c>
      <c r="S417">
        <f ca="1"/>
        <v>0</v>
      </c>
      <c r="T417">
        <f ca="1"/>
        <v>0</v>
      </c>
      <c r="U417">
        <f ca="1"/>
        <v>0</v>
      </c>
      <c r="V417">
        <f ca="1"/>
        <v>0</v>
      </c>
      <c r="W417">
        <f ca="1"/>
        <v>0</v>
      </c>
      <c r="X417">
        <f ca="1"/>
        <v>0</v>
      </c>
      <c r="Y417">
        <f ca="1"/>
        <v>0</v>
      </c>
      <c r="Z417">
        <f ca="1"/>
        <v>0</v>
      </c>
      <c r="AA417">
        <f ca="1"/>
        <v>0</v>
      </c>
      <c r="AB417">
        <f ca="1"/>
        <v>0</v>
      </c>
      <c r="AC417">
        <f ca="1"/>
        <v>0</v>
      </c>
    </row>
    <row r="418" spans="15:29" x14ac:dyDescent="0.25">
      <c r="O418">
        <f ca="1"/>
        <v>0</v>
      </c>
      <c r="P418">
        <f ca="1"/>
        <v>0</v>
      </c>
      <c r="Q418">
        <f ca="1"/>
        <v>0</v>
      </c>
      <c r="R418">
        <f ca="1"/>
        <v>0</v>
      </c>
      <c r="S418">
        <f ca="1"/>
        <v>0</v>
      </c>
      <c r="T418">
        <f ca="1"/>
        <v>0</v>
      </c>
      <c r="U418">
        <f ca="1"/>
        <v>0</v>
      </c>
      <c r="V418">
        <f ca="1"/>
        <v>0</v>
      </c>
      <c r="W418">
        <f ca="1"/>
        <v>0</v>
      </c>
      <c r="X418">
        <f ca="1"/>
        <v>0</v>
      </c>
      <c r="Y418">
        <f ca="1"/>
        <v>0</v>
      </c>
      <c r="Z418">
        <f ca="1"/>
        <v>0</v>
      </c>
      <c r="AA418">
        <f ca="1"/>
        <v>0</v>
      </c>
      <c r="AB418">
        <f ca="1"/>
        <v>0</v>
      </c>
      <c r="AC418">
        <f ca="1"/>
        <v>0</v>
      </c>
    </row>
    <row r="419" spans="15:29" x14ac:dyDescent="0.25">
      <c r="O419">
        <f ca="1"/>
        <v>0</v>
      </c>
      <c r="P419">
        <f ca="1"/>
        <v>0</v>
      </c>
      <c r="Q419">
        <f ca="1"/>
        <v>0</v>
      </c>
      <c r="R419">
        <f ca="1"/>
        <v>0</v>
      </c>
      <c r="S419">
        <f ca="1"/>
        <v>0</v>
      </c>
      <c r="T419">
        <f ca="1"/>
        <v>0</v>
      </c>
      <c r="U419">
        <f ca="1"/>
        <v>0</v>
      </c>
      <c r="V419">
        <f ca="1"/>
        <v>0</v>
      </c>
      <c r="W419">
        <f ca="1"/>
        <v>0</v>
      </c>
      <c r="X419">
        <f ca="1"/>
        <v>0</v>
      </c>
      <c r="Y419">
        <f ca="1"/>
        <v>0</v>
      </c>
      <c r="Z419">
        <f ca="1"/>
        <v>0</v>
      </c>
      <c r="AA419">
        <f ca="1"/>
        <v>0</v>
      </c>
      <c r="AB419">
        <f ca="1"/>
        <v>0</v>
      </c>
      <c r="AC419">
        <f ca="1"/>
        <v>0</v>
      </c>
    </row>
    <row r="420" spans="15:29" x14ac:dyDescent="0.25">
      <c r="O420">
        <f ca="1"/>
        <v>0</v>
      </c>
      <c r="P420">
        <f ca="1"/>
        <v>0</v>
      </c>
      <c r="Q420">
        <f ca="1"/>
        <v>0</v>
      </c>
      <c r="R420">
        <f ca="1"/>
        <v>0</v>
      </c>
      <c r="S420">
        <f ca="1"/>
        <v>0</v>
      </c>
      <c r="T420">
        <f ca="1"/>
        <v>0</v>
      </c>
      <c r="U420">
        <f ca="1"/>
        <v>0</v>
      </c>
      <c r="V420">
        <f ca="1"/>
        <v>0</v>
      </c>
      <c r="W420">
        <f ca="1"/>
        <v>0</v>
      </c>
      <c r="X420">
        <f ca="1"/>
        <v>0</v>
      </c>
      <c r="Y420">
        <f ca="1"/>
        <v>0</v>
      </c>
      <c r="Z420">
        <f ca="1"/>
        <v>0</v>
      </c>
      <c r="AA420">
        <f ca="1"/>
        <v>0</v>
      </c>
      <c r="AB420">
        <f ca="1"/>
        <v>0</v>
      </c>
      <c r="AC420">
        <f ca="1"/>
        <v>0</v>
      </c>
    </row>
    <row r="421" spans="15:29" x14ac:dyDescent="0.25">
      <c r="O421">
        <f ca="1"/>
        <v>0</v>
      </c>
      <c r="P421">
        <f ca="1"/>
        <v>0</v>
      </c>
      <c r="Q421">
        <f ca="1"/>
        <v>0</v>
      </c>
      <c r="R421">
        <f ca="1"/>
        <v>0</v>
      </c>
      <c r="S421">
        <f ca="1"/>
        <v>0</v>
      </c>
      <c r="T421">
        <f ca="1"/>
        <v>0</v>
      </c>
      <c r="U421">
        <f ca="1"/>
        <v>0</v>
      </c>
      <c r="V421">
        <f ca="1"/>
        <v>0</v>
      </c>
      <c r="W421">
        <f ca="1"/>
        <v>0</v>
      </c>
      <c r="X421">
        <f ca="1"/>
        <v>0</v>
      </c>
      <c r="Y421">
        <f ca="1"/>
        <v>0</v>
      </c>
      <c r="Z421">
        <f ca="1"/>
        <v>0</v>
      </c>
      <c r="AA421">
        <f ca="1"/>
        <v>0</v>
      </c>
      <c r="AB421">
        <f ca="1"/>
        <v>0</v>
      </c>
      <c r="AC421">
        <f ca="1"/>
        <v>0</v>
      </c>
    </row>
    <row r="422" spans="15:29" x14ac:dyDescent="0.25">
      <c r="O422">
        <f ca="1"/>
        <v>0</v>
      </c>
      <c r="P422">
        <f ca="1"/>
        <v>0</v>
      </c>
      <c r="Q422">
        <f ca="1"/>
        <v>0</v>
      </c>
      <c r="R422">
        <f ca="1"/>
        <v>0</v>
      </c>
      <c r="S422">
        <f ca="1"/>
        <v>0</v>
      </c>
      <c r="T422">
        <f ca="1"/>
        <v>0</v>
      </c>
      <c r="U422">
        <f ca="1"/>
        <v>0</v>
      </c>
      <c r="V422">
        <f ca="1"/>
        <v>0</v>
      </c>
      <c r="W422">
        <f ca="1"/>
        <v>0</v>
      </c>
      <c r="X422">
        <f ca="1"/>
        <v>0</v>
      </c>
      <c r="Y422">
        <f ca="1"/>
        <v>0</v>
      </c>
      <c r="Z422">
        <f ca="1"/>
        <v>0</v>
      </c>
      <c r="AA422">
        <f ca="1"/>
        <v>0</v>
      </c>
      <c r="AB422">
        <f ca="1"/>
        <v>0</v>
      </c>
      <c r="AC422">
        <f ca="1"/>
        <v>0</v>
      </c>
    </row>
    <row r="423" spans="15:29" x14ac:dyDescent="0.25">
      <c r="O423">
        <f ca="1"/>
        <v>0</v>
      </c>
      <c r="P423">
        <f ca="1"/>
        <v>0</v>
      </c>
      <c r="Q423">
        <f ca="1"/>
        <v>0</v>
      </c>
      <c r="R423">
        <f ca="1"/>
        <v>0</v>
      </c>
      <c r="S423">
        <f ca="1"/>
        <v>0</v>
      </c>
      <c r="T423">
        <f ca="1"/>
        <v>0</v>
      </c>
      <c r="U423">
        <f ca="1"/>
        <v>0</v>
      </c>
      <c r="V423">
        <f ca="1"/>
        <v>0</v>
      </c>
      <c r="W423">
        <f ca="1"/>
        <v>0</v>
      </c>
      <c r="X423">
        <f ca="1"/>
        <v>0</v>
      </c>
      <c r="Y423">
        <f ca="1"/>
        <v>0</v>
      </c>
      <c r="Z423">
        <f ca="1"/>
        <v>0</v>
      </c>
      <c r="AA423">
        <f ca="1"/>
        <v>0</v>
      </c>
      <c r="AB423">
        <f ca="1"/>
        <v>0</v>
      </c>
      <c r="AC423">
        <f ca="1"/>
        <v>0</v>
      </c>
    </row>
    <row r="424" spans="15:29" x14ac:dyDescent="0.25">
      <c r="O424">
        <f ca="1"/>
        <v>0</v>
      </c>
      <c r="P424">
        <f ca="1"/>
        <v>0</v>
      </c>
      <c r="Q424">
        <f ca="1"/>
        <v>0</v>
      </c>
      <c r="R424">
        <f ca="1"/>
        <v>0</v>
      </c>
      <c r="S424">
        <f ca="1"/>
        <v>0</v>
      </c>
      <c r="T424">
        <f ca="1"/>
        <v>0</v>
      </c>
      <c r="U424">
        <f ca="1"/>
        <v>0</v>
      </c>
      <c r="V424">
        <f ca="1"/>
        <v>0</v>
      </c>
      <c r="W424">
        <f ca="1"/>
        <v>0</v>
      </c>
      <c r="X424">
        <f ca="1"/>
        <v>0</v>
      </c>
      <c r="Y424">
        <f ca="1"/>
        <v>0</v>
      </c>
      <c r="Z424">
        <f ca="1"/>
        <v>0</v>
      </c>
      <c r="AA424">
        <f ca="1"/>
        <v>0</v>
      </c>
      <c r="AB424">
        <f ca="1"/>
        <v>0</v>
      </c>
      <c r="AC424">
        <f ca="1"/>
        <v>0</v>
      </c>
    </row>
    <row r="425" spans="15:29" x14ac:dyDescent="0.25">
      <c r="O425">
        <f ca="1"/>
        <v>0</v>
      </c>
      <c r="P425">
        <f ca="1"/>
        <v>0</v>
      </c>
      <c r="Q425">
        <f ca="1"/>
        <v>0</v>
      </c>
      <c r="R425">
        <f ca="1"/>
        <v>0</v>
      </c>
      <c r="S425">
        <f ca="1"/>
        <v>0</v>
      </c>
      <c r="T425">
        <f ca="1"/>
        <v>0</v>
      </c>
      <c r="U425">
        <f ca="1"/>
        <v>0</v>
      </c>
      <c r="V425">
        <f ca="1"/>
        <v>0</v>
      </c>
      <c r="W425">
        <f ca="1"/>
        <v>0</v>
      </c>
      <c r="X425">
        <f ca="1"/>
        <v>0</v>
      </c>
      <c r="Y425">
        <f ca="1"/>
        <v>0</v>
      </c>
      <c r="Z425">
        <f ca="1"/>
        <v>0</v>
      </c>
      <c r="AA425">
        <f ca="1"/>
        <v>0</v>
      </c>
      <c r="AB425">
        <f ca="1"/>
        <v>0</v>
      </c>
      <c r="AC425">
        <f ca="1"/>
        <v>0</v>
      </c>
    </row>
    <row r="426" spans="15:29" x14ac:dyDescent="0.25">
      <c r="O426">
        <f ca="1"/>
        <v>0</v>
      </c>
      <c r="P426">
        <f ca="1"/>
        <v>0</v>
      </c>
      <c r="Q426">
        <f ca="1"/>
        <v>0</v>
      </c>
      <c r="R426">
        <f ca="1"/>
        <v>0</v>
      </c>
      <c r="S426">
        <f ca="1"/>
        <v>0</v>
      </c>
      <c r="T426">
        <f ca="1"/>
        <v>0</v>
      </c>
      <c r="U426">
        <f ca="1"/>
        <v>0</v>
      </c>
      <c r="V426">
        <f ca="1"/>
        <v>0</v>
      </c>
      <c r="W426">
        <f ca="1"/>
        <v>0</v>
      </c>
      <c r="X426">
        <f ca="1"/>
        <v>0</v>
      </c>
      <c r="Y426">
        <f ca="1"/>
        <v>0</v>
      </c>
      <c r="Z426">
        <f ca="1"/>
        <v>0</v>
      </c>
      <c r="AA426">
        <f ca="1"/>
        <v>0</v>
      </c>
      <c r="AB426">
        <f ca="1"/>
        <v>0</v>
      </c>
      <c r="AC426">
        <f ca="1"/>
        <v>0</v>
      </c>
    </row>
    <row r="427" spans="15:29" x14ac:dyDescent="0.25">
      <c r="O427">
        <f ca="1"/>
        <v>0</v>
      </c>
      <c r="P427">
        <f ca="1"/>
        <v>0</v>
      </c>
      <c r="Q427">
        <f ca="1"/>
        <v>0</v>
      </c>
      <c r="R427">
        <f ca="1"/>
        <v>0</v>
      </c>
      <c r="S427">
        <f ca="1"/>
        <v>0</v>
      </c>
      <c r="T427">
        <f ca="1"/>
        <v>0</v>
      </c>
      <c r="U427">
        <f ca="1"/>
        <v>0</v>
      </c>
      <c r="V427">
        <f ca="1"/>
        <v>0</v>
      </c>
      <c r="W427">
        <f ca="1"/>
        <v>0</v>
      </c>
      <c r="X427">
        <f ca="1"/>
        <v>0</v>
      </c>
      <c r="Y427">
        <f ca="1"/>
        <v>0</v>
      </c>
      <c r="Z427">
        <f ca="1"/>
        <v>0</v>
      </c>
      <c r="AA427">
        <f ca="1"/>
        <v>0</v>
      </c>
      <c r="AB427">
        <f ca="1"/>
        <v>0</v>
      </c>
      <c r="AC427">
        <f ca="1"/>
        <v>0</v>
      </c>
    </row>
    <row r="428" spans="15:29" x14ac:dyDescent="0.25">
      <c r="O428">
        <f ca="1"/>
        <v>0</v>
      </c>
      <c r="P428">
        <f ca="1"/>
        <v>0</v>
      </c>
      <c r="Q428">
        <f ca="1"/>
        <v>0</v>
      </c>
      <c r="R428">
        <f ca="1"/>
        <v>0</v>
      </c>
      <c r="S428">
        <f ca="1"/>
        <v>0</v>
      </c>
      <c r="T428">
        <f ca="1"/>
        <v>0</v>
      </c>
      <c r="U428">
        <f ca="1"/>
        <v>0</v>
      </c>
      <c r="V428">
        <f ca="1"/>
        <v>0</v>
      </c>
      <c r="W428">
        <f ca="1"/>
        <v>0</v>
      </c>
      <c r="X428">
        <f ca="1"/>
        <v>0</v>
      </c>
      <c r="Y428">
        <f ca="1"/>
        <v>0</v>
      </c>
      <c r="Z428">
        <f ca="1"/>
        <v>0</v>
      </c>
      <c r="AA428">
        <f ca="1"/>
        <v>0</v>
      </c>
      <c r="AB428">
        <f ca="1"/>
        <v>0</v>
      </c>
      <c r="AC428">
        <f ca="1"/>
        <v>0</v>
      </c>
    </row>
    <row r="429" spans="15:29" x14ac:dyDescent="0.25">
      <c r="O429">
        <f ca="1"/>
        <v>0</v>
      </c>
      <c r="P429">
        <f ca="1"/>
        <v>0</v>
      </c>
      <c r="Q429">
        <f ca="1"/>
        <v>0</v>
      </c>
      <c r="R429">
        <f ca="1"/>
        <v>0</v>
      </c>
      <c r="S429">
        <f ca="1"/>
        <v>0</v>
      </c>
      <c r="T429">
        <f ca="1"/>
        <v>0</v>
      </c>
      <c r="U429">
        <f ca="1"/>
        <v>0</v>
      </c>
      <c r="V429">
        <f ca="1"/>
        <v>0</v>
      </c>
      <c r="W429">
        <f ca="1"/>
        <v>0</v>
      </c>
      <c r="X429">
        <f ca="1"/>
        <v>0</v>
      </c>
      <c r="Y429">
        <f ca="1"/>
        <v>0</v>
      </c>
      <c r="Z429">
        <f ca="1"/>
        <v>0</v>
      </c>
      <c r="AA429">
        <f ca="1"/>
        <v>0</v>
      </c>
      <c r="AB429">
        <f ca="1"/>
        <v>0</v>
      </c>
      <c r="AC429">
        <f ca="1"/>
        <v>0</v>
      </c>
    </row>
    <row r="430" spans="15:29" x14ac:dyDescent="0.25">
      <c r="O430">
        <f ca="1"/>
        <v>0</v>
      </c>
      <c r="P430">
        <f ca="1"/>
        <v>0</v>
      </c>
      <c r="Q430">
        <f ca="1"/>
        <v>0</v>
      </c>
      <c r="R430">
        <f ca="1"/>
        <v>0</v>
      </c>
      <c r="S430">
        <f ca="1"/>
        <v>0</v>
      </c>
      <c r="T430">
        <f ca="1"/>
        <v>0</v>
      </c>
      <c r="U430">
        <f ca="1"/>
        <v>0</v>
      </c>
      <c r="V430">
        <f ca="1"/>
        <v>0</v>
      </c>
      <c r="W430">
        <f ca="1"/>
        <v>0</v>
      </c>
      <c r="X430">
        <f ca="1"/>
        <v>0</v>
      </c>
      <c r="Y430">
        <f ca="1"/>
        <v>0</v>
      </c>
      <c r="Z430">
        <f ca="1"/>
        <v>0</v>
      </c>
      <c r="AA430">
        <f ca="1"/>
        <v>0</v>
      </c>
      <c r="AB430">
        <f ca="1"/>
        <v>0</v>
      </c>
      <c r="AC430">
        <f ca="1"/>
        <v>0</v>
      </c>
    </row>
    <row r="431" spans="15:29" x14ac:dyDescent="0.25">
      <c r="O431">
        <f ca="1"/>
        <v>0</v>
      </c>
      <c r="P431">
        <f ca="1"/>
        <v>0</v>
      </c>
      <c r="Q431">
        <f ca="1"/>
        <v>0</v>
      </c>
      <c r="R431">
        <f ca="1"/>
        <v>0</v>
      </c>
      <c r="S431">
        <f ca="1"/>
        <v>0</v>
      </c>
      <c r="T431">
        <f ca="1"/>
        <v>0</v>
      </c>
      <c r="U431">
        <f ca="1"/>
        <v>0</v>
      </c>
      <c r="V431">
        <f ca="1"/>
        <v>0</v>
      </c>
      <c r="W431">
        <f ca="1"/>
        <v>0</v>
      </c>
      <c r="X431">
        <f ca="1"/>
        <v>0</v>
      </c>
      <c r="Y431">
        <f ca="1"/>
        <v>0</v>
      </c>
      <c r="Z431">
        <f ca="1"/>
        <v>0</v>
      </c>
      <c r="AA431">
        <f ca="1"/>
        <v>0</v>
      </c>
      <c r="AB431">
        <f ca="1"/>
        <v>0</v>
      </c>
      <c r="AC431">
        <f ca="1"/>
        <v>0</v>
      </c>
    </row>
    <row r="432" spans="15:29" x14ac:dyDescent="0.25">
      <c r="O432">
        <f ca="1"/>
        <v>0</v>
      </c>
      <c r="P432">
        <f ca="1"/>
        <v>0</v>
      </c>
      <c r="Q432">
        <f ca="1"/>
        <v>0</v>
      </c>
      <c r="R432">
        <f ca="1"/>
        <v>0</v>
      </c>
      <c r="S432">
        <f ca="1"/>
        <v>0</v>
      </c>
      <c r="T432">
        <f ca="1"/>
        <v>0</v>
      </c>
      <c r="U432">
        <f ca="1"/>
        <v>0</v>
      </c>
      <c r="V432">
        <f ca="1"/>
        <v>0</v>
      </c>
      <c r="W432">
        <f ca="1"/>
        <v>0</v>
      </c>
      <c r="X432">
        <f ca="1"/>
        <v>0</v>
      </c>
      <c r="Y432">
        <f ca="1"/>
        <v>0</v>
      </c>
      <c r="Z432">
        <f ca="1"/>
        <v>0</v>
      </c>
      <c r="AA432">
        <f ca="1"/>
        <v>0</v>
      </c>
      <c r="AB432">
        <f ca="1"/>
        <v>0</v>
      </c>
      <c r="AC432">
        <f ca="1"/>
        <v>0</v>
      </c>
    </row>
    <row r="433" spans="15:29" x14ac:dyDescent="0.25">
      <c r="O433">
        <f ca="1"/>
        <v>0</v>
      </c>
      <c r="P433">
        <f ca="1"/>
        <v>0</v>
      </c>
      <c r="Q433">
        <f ca="1"/>
        <v>0</v>
      </c>
      <c r="R433">
        <f ca="1"/>
        <v>0</v>
      </c>
      <c r="S433">
        <f ca="1"/>
        <v>0</v>
      </c>
      <c r="T433">
        <f ca="1"/>
        <v>0</v>
      </c>
      <c r="U433">
        <f ca="1"/>
        <v>0</v>
      </c>
      <c r="V433">
        <f ca="1"/>
        <v>0</v>
      </c>
      <c r="W433">
        <f ca="1"/>
        <v>0</v>
      </c>
      <c r="X433">
        <f ca="1"/>
        <v>0</v>
      </c>
      <c r="Y433">
        <f ca="1"/>
        <v>0</v>
      </c>
      <c r="Z433">
        <f ca="1"/>
        <v>0</v>
      </c>
      <c r="AA433">
        <f ca="1"/>
        <v>0</v>
      </c>
      <c r="AB433">
        <f ca="1"/>
        <v>0</v>
      </c>
      <c r="AC433">
        <f ca="1"/>
        <v>0</v>
      </c>
    </row>
    <row r="434" spans="15:29" x14ac:dyDescent="0.25">
      <c r="O434">
        <f ca="1"/>
        <v>0</v>
      </c>
      <c r="P434">
        <f ca="1"/>
        <v>0</v>
      </c>
      <c r="Q434">
        <f ca="1"/>
        <v>0</v>
      </c>
      <c r="R434">
        <f ca="1"/>
        <v>0</v>
      </c>
      <c r="S434">
        <f ca="1"/>
        <v>0</v>
      </c>
      <c r="T434">
        <f ca="1"/>
        <v>0</v>
      </c>
      <c r="U434">
        <f ca="1"/>
        <v>0</v>
      </c>
      <c r="V434">
        <f ca="1"/>
        <v>0</v>
      </c>
      <c r="W434">
        <f ca="1"/>
        <v>0</v>
      </c>
      <c r="X434">
        <f ca="1"/>
        <v>0</v>
      </c>
      <c r="Y434">
        <f ca="1"/>
        <v>0</v>
      </c>
      <c r="Z434">
        <f ca="1"/>
        <v>0</v>
      </c>
      <c r="AA434">
        <f ca="1"/>
        <v>0</v>
      </c>
      <c r="AB434">
        <f ca="1"/>
        <v>0</v>
      </c>
      <c r="AC434">
        <f ca="1"/>
        <v>0</v>
      </c>
    </row>
    <row r="435" spans="15:29" x14ac:dyDescent="0.25">
      <c r="O435">
        <f ca="1"/>
        <v>0</v>
      </c>
      <c r="P435">
        <f ca="1"/>
        <v>0</v>
      </c>
      <c r="Q435">
        <f ca="1"/>
        <v>0</v>
      </c>
      <c r="R435">
        <f ca="1"/>
        <v>0</v>
      </c>
      <c r="S435">
        <f ca="1"/>
        <v>0</v>
      </c>
      <c r="T435">
        <f ca="1"/>
        <v>0</v>
      </c>
      <c r="U435">
        <f ca="1"/>
        <v>0</v>
      </c>
      <c r="V435">
        <f ca="1"/>
        <v>0</v>
      </c>
      <c r="W435">
        <f ca="1"/>
        <v>0</v>
      </c>
      <c r="X435">
        <f ca="1"/>
        <v>0</v>
      </c>
      <c r="Y435">
        <f ca="1"/>
        <v>0</v>
      </c>
      <c r="Z435">
        <f ca="1"/>
        <v>0</v>
      </c>
      <c r="AA435">
        <f ca="1"/>
        <v>0</v>
      </c>
      <c r="AB435">
        <f ca="1"/>
        <v>0</v>
      </c>
      <c r="AC435">
        <f ca="1"/>
        <v>0</v>
      </c>
    </row>
    <row r="436" spans="15:29" x14ac:dyDescent="0.25">
      <c r="O436">
        <f ca="1"/>
        <v>0</v>
      </c>
      <c r="P436">
        <f ca="1"/>
        <v>0</v>
      </c>
      <c r="Q436">
        <f ca="1"/>
        <v>0</v>
      </c>
      <c r="R436">
        <f ca="1"/>
        <v>0</v>
      </c>
      <c r="S436">
        <f ca="1"/>
        <v>0</v>
      </c>
      <c r="T436">
        <f ca="1"/>
        <v>0</v>
      </c>
      <c r="U436">
        <f ca="1"/>
        <v>0</v>
      </c>
      <c r="V436">
        <f ca="1"/>
        <v>0</v>
      </c>
      <c r="W436">
        <f ca="1"/>
        <v>0</v>
      </c>
      <c r="X436">
        <f ca="1"/>
        <v>0</v>
      </c>
      <c r="Y436">
        <f ca="1"/>
        <v>0</v>
      </c>
      <c r="Z436">
        <f ca="1"/>
        <v>0</v>
      </c>
      <c r="AA436">
        <f ca="1"/>
        <v>0</v>
      </c>
      <c r="AB436">
        <f ca="1"/>
        <v>0</v>
      </c>
      <c r="AC436">
        <f ca="1"/>
        <v>0</v>
      </c>
    </row>
    <row r="437" spans="15:29" x14ac:dyDescent="0.25">
      <c r="O437">
        <f ca="1"/>
        <v>0</v>
      </c>
      <c r="P437">
        <f ca="1"/>
        <v>0</v>
      </c>
      <c r="Q437">
        <f ca="1"/>
        <v>0</v>
      </c>
      <c r="R437">
        <f ca="1"/>
        <v>0</v>
      </c>
      <c r="S437">
        <f ca="1"/>
        <v>0</v>
      </c>
      <c r="T437">
        <f ca="1"/>
        <v>0</v>
      </c>
      <c r="U437">
        <f ca="1"/>
        <v>0</v>
      </c>
      <c r="V437">
        <f ca="1"/>
        <v>0</v>
      </c>
      <c r="W437">
        <f ca="1"/>
        <v>0</v>
      </c>
      <c r="X437">
        <f ca="1"/>
        <v>0</v>
      </c>
      <c r="Y437">
        <f ca="1"/>
        <v>0</v>
      </c>
      <c r="Z437">
        <f ca="1"/>
        <v>0</v>
      </c>
      <c r="AA437">
        <f ca="1"/>
        <v>0</v>
      </c>
      <c r="AB437">
        <f ca="1"/>
        <v>0</v>
      </c>
      <c r="AC437">
        <f ca="1"/>
        <v>0</v>
      </c>
    </row>
    <row r="438" spans="15:29" x14ac:dyDescent="0.25">
      <c r="O438">
        <f ca="1"/>
        <v>0</v>
      </c>
      <c r="P438">
        <f ca="1"/>
        <v>0</v>
      </c>
      <c r="Q438">
        <f ca="1"/>
        <v>0</v>
      </c>
      <c r="R438">
        <f ca="1"/>
        <v>0</v>
      </c>
      <c r="S438">
        <f ca="1"/>
        <v>0</v>
      </c>
      <c r="T438">
        <f ca="1"/>
        <v>0</v>
      </c>
      <c r="U438">
        <f ca="1"/>
        <v>0</v>
      </c>
      <c r="V438">
        <f ca="1"/>
        <v>0</v>
      </c>
      <c r="W438">
        <f ca="1"/>
        <v>0</v>
      </c>
      <c r="X438">
        <f ca="1"/>
        <v>0</v>
      </c>
      <c r="Y438">
        <f ca="1"/>
        <v>0</v>
      </c>
      <c r="Z438">
        <f ca="1"/>
        <v>0</v>
      </c>
      <c r="AA438">
        <f ca="1"/>
        <v>0</v>
      </c>
      <c r="AB438">
        <f ca="1"/>
        <v>0</v>
      </c>
      <c r="AC438">
        <f ca="1"/>
        <v>0</v>
      </c>
    </row>
    <row r="439" spans="15:29" x14ac:dyDescent="0.25">
      <c r="O439">
        <f ca="1"/>
        <v>0</v>
      </c>
      <c r="P439">
        <f ca="1"/>
        <v>0</v>
      </c>
      <c r="Q439">
        <f ca="1"/>
        <v>0</v>
      </c>
      <c r="R439">
        <f ca="1"/>
        <v>0</v>
      </c>
      <c r="S439">
        <f ca="1"/>
        <v>0</v>
      </c>
      <c r="T439">
        <f ca="1"/>
        <v>0</v>
      </c>
      <c r="U439">
        <f ca="1"/>
        <v>0</v>
      </c>
      <c r="V439">
        <f ca="1"/>
        <v>0</v>
      </c>
      <c r="W439">
        <f ca="1"/>
        <v>0</v>
      </c>
      <c r="X439">
        <f ca="1"/>
        <v>0</v>
      </c>
      <c r="Y439">
        <f ca="1"/>
        <v>0</v>
      </c>
      <c r="Z439">
        <f ca="1"/>
        <v>0</v>
      </c>
      <c r="AA439">
        <f ca="1"/>
        <v>0</v>
      </c>
      <c r="AB439">
        <f ca="1"/>
        <v>0</v>
      </c>
      <c r="AC439">
        <f ca="1"/>
        <v>0</v>
      </c>
    </row>
    <row r="440" spans="15:29" x14ac:dyDescent="0.25">
      <c r="O440">
        <f ca="1"/>
        <v>0</v>
      </c>
      <c r="P440">
        <f ca="1"/>
        <v>0</v>
      </c>
      <c r="Q440">
        <f ca="1"/>
        <v>0</v>
      </c>
      <c r="R440">
        <f ca="1"/>
        <v>0</v>
      </c>
      <c r="S440">
        <f ca="1"/>
        <v>0</v>
      </c>
      <c r="T440">
        <f ca="1"/>
        <v>0</v>
      </c>
      <c r="U440">
        <f ca="1"/>
        <v>0</v>
      </c>
      <c r="V440">
        <f ca="1"/>
        <v>0</v>
      </c>
      <c r="W440">
        <f ca="1"/>
        <v>0</v>
      </c>
      <c r="X440">
        <f ca="1"/>
        <v>0</v>
      </c>
      <c r="Y440">
        <f ca="1"/>
        <v>0</v>
      </c>
      <c r="Z440">
        <f ca="1"/>
        <v>0</v>
      </c>
      <c r="AA440">
        <f ca="1"/>
        <v>0</v>
      </c>
      <c r="AB440">
        <f ca="1"/>
        <v>0</v>
      </c>
      <c r="AC440">
        <f ca="1"/>
        <v>0</v>
      </c>
    </row>
    <row r="441" spans="15:29" x14ac:dyDescent="0.25">
      <c r="O441">
        <f ca="1"/>
        <v>0</v>
      </c>
      <c r="P441">
        <f ca="1"/>
        <v>0</v>
      </c>
      <c r="Q441">
        <f ca="1"/>
        <v>0</v>
      </c>
      <c r="R441">
        <f ca="1"/>
        <v>0</v>
      </c>
      <c r="S441">
        <f ca="1"/>
        <v>0</v>
      </c>
      <c r="T441">
        <f ca="1"/>
        <v>0</v>
      </c>
      <c r="U441">
        <f ca="1"/>
        <v>0</v>
      </c>
      <c r="V441">
        <f ca="1"/>
        <v>0</v>
      </c>
      <c r="W441">
        <f ca="1"/>
        <v>0</v>
      </c>
      <c r="X441">
        <f ca="1"/>
        <v>0</v>
      </c>
      <c r="Y441">
        <f ca="1"/>
        <v>0</v>
      </c>
      <c r="Z441">
        <f ca="1"/>
        <v>0</v>
      </c>
      <c r="AA441">
        <f ca="1"/>
        <v>0</v>
      </c>
      <c r="AB441">
        <f ca="1"/>
        <v>0</v>
      </c>
      <c r="AC441">
        <f ca="1"/>
        <v>0</v>
      </c>
    </row>
    <row r="442" spans="15:29" x14ac:dyDescent="0.25">
      <c r="O442">
        <f ca="1"/>
        <v>0</v>
      </c>
      <c r="P442">
        <f ca="1"/>
        <v>0</v>
      </c>
      <c r="Q442">
        <f ca="1"/>
        <v>0</v>
      </c>
      <c r="R442">
        <f ca="1"/>
        <v>0</v>
      </c>
      <c r="S442">
        <f ca="1"/>
        <v>0</v>
      </c>
      <c r="T442">
        <f ca="1"/>
        <v>0</v>
      </c>
      <c r="U442">
        <f ca="1"/>
        <v>0</v>
      </c>
      <c r="V442">
        <f ca="1"/>
        <v>0</v>
      </c>
      <c r="W442">
        <f ca="1"/>
        <v>0</v>
      </c>
      <c r="X442">
        <f ca="1"/>
        <v>0</v>
      </c>
      <c r="Y442">
        <f ca="1"/>
        <v>0</v>
      </c>
      <c r="Z442">
        <f ca="1"/>
        <v>0</v>
      </c>
      <c r="AA442">
        <f ca="1"/>
        <v>0</v>
      </c>
      <c r="AB442">
        <f ca="1"/>
        <v>0</v>
      </c>
      <c r="AC442">
        <f ca="1"/>
        <v>0</v>
      </c>
    </row>
    <row r="443" spans="15:29" x14ac:dyDescent="0.25">
      <c r="O443">
        <f ca="1"/>
        <v>0</v>
      </c>
      <c r="P443">
        <f ca="1"/>
        <v>0</v>
      </c>
      <c r="Q443">
        <f ca="1"/>
        <v>0</v>
      </c>
      <c r="R443">
        <f ca="1"/>
        <v>0</v>
      </c>
      <c r="S443">
        <f ca="1"/>
        <v>0</v>
      </c>
      <c r="T443">
        <f ca="1"/>
        <v>0</v>
      </c>
      <c r="U443">
        <f ca="1"/>
        <v>0</v>
      </c>
      <c r="V443">
        <f ca="1"/>
        <v>0</v>
      </c>
      <c r="W443">
        <f ca="1"/>
        <v>0</v>
      </c>
      <c r="X443">
        <f ca="1"/>
        <v>0</v>
      </c>
      <c r="Y443">
        <f ca="1"/>
        <v>0</v>
      </c>
      <c r="Z443">
        <f ca="1"/>
        <v>0</v>
      </c>
      <c r="AA443">
        <f ca="1"/>
        <v>0</v>
      </c>
      <c r="AB443">
        <f ca="1"/>
        <v>0</v>
      </c>
      <c r="AC443">
        <f ca="1"/>
        <v>0</v>
      </c>
    </row>
    <row r="444" spans="15:29" x14ac:dyDescent="0.25">
      <c r="O444">
        <f ca="1"/>
        <v>0</v>
      </c>
      <c r="P444">
        <f ca="1"/>
        <v>0</v>
      </c>
      <c r="Q444">
        <f ca="1"/>
        <v>0</v>
      </c>
      <c r="R444">
        <f ca="1"/>
        <v>0</v>
      </c>
      <c r="S444">
        <f ca="1"/>
        <v>0</v>
      </c>
      <c r="T444">
        <f ca="1"/>
        <v>0</v>
      </c>
      <c r="U444">
        <f ca="1"/>
        <v>0</v>
      </c>
      <c r="V444">
        <f ca="1"/>
        <v>0</v>
      </c>
      <c r="W444">
        <f ca="1"/>
        <v>0</v>
      </c>
      <c r="X444">
        <f ca="1"/>
        <v>0</v>
      </c>
      <c r="Y444">
        <f ca="1"/>
        <v>0</v>
      </c>
      <c r="Z444">
        <f ca="1"/>
        <v>0</v>
      </c>
      <c r="AA444">
        <f ca="1"/>
        <v>0</v>
      </c>
      <c r="AB444">
        <f ca="1"/>
        <v>0</v>
      </c>
      <c r="AC444">
        <f ca="1"/>
        <v>0</v>
      </c>
    </row>
    <row r="445" spans="15:29" x14ac:dyDescent="0.25">
      <c r="O445">
        <f ca="1"/>
        <v>0</v>
      </c>
      <c r="P445">
        <f ca="1"/>
        <v>0</v>
      </c>
      <c r="Q445">
        <f ca="1"/>
        <v>0</v>
      </c>
      <c r="R445">
        <f ca="1"/>
        <v>0</v>
      </c>
      <c r="S445">
        <f ca="1"/>
        <v>0</v>
      </c>
      <c r="T445">
        <f ca="1"/>
        <v>0</v>
      </c>
      <c r="U445">
        <f ca="1"/>
        <v>0</v>
      </c>
      <c r="V445">
        <f ca="1"/>
        <v>0</v>
      </c>
      <c r="W445">
        <f ca="1"/>
        <v>0</v>
      </c>
      <c r="X445">
        <f ca="1"/>
        <v>0</v>
      </c>
      <c r="Y445">
        <f ca="1"/>
        <v>0</v>
      </c>
      <c r="Z445">
        <f ca="1"/>
        <v>0</v>
      </c>
      <c r="AA445">
        <f ca="1"/>
        <v>0</v>
      </c>
      <c r="AB445">
        <f ca="1"/>
        <v>0</v>
      </c>
      <c r="AC445">
        <f ca="1"/>
        <v>0</v>
      </c>
    </row>
    <row r="446" spans="15:29" x14ac:dyDescent="0.25">
      <c r="O446">
        <f ca="1"/>
        <v>0</v>
      </c>
      <c r="P446">
        <f ca="1"/>
        <v>0</v>
      </c>
      <c r="Q446">
        <f ca="1"/>
        <v>0</v>
      </c>
      <c r="R446">
        <f ca="1"/>
        <v>0</v>
      </c>
      <c r="S446">
        <f ca="1"/>
        <v>0</v>
      </c>
      <c r="T446">
        <f ca="1"/>
        <v>0</v>
      </c>
      <c r="U446">
        <f ca="1"/>
        <v>0</v>
      </c>
      <c r="V446">
        <f ca="1"/>
        <v>0</v>
      </c>
      <c r="W446">
        <f ca="1"/>
        <v>0</v>
      </c>
      <c r="X446">
        <f ca="1"/>
        <v>0</v>
      </c>
      <c r="Y446">
        <f ca="1"/>
        <v>0</v>
      </c>
      <c r="Z446">
        <f ca="1"/>
        <v>0</v>
      </c>
      <c r="AA446">
        <f ca="1"/>
        <v>0</v>
      </c>
      <c r="AB446">
        <f ca="1"/>
        <v>0</v>
      </c>
      <c r="AC446">
        <f ca="1"/>
        <v>0</v>
      </c>
    </row>
    <row r="447" spans="15:29" x14ac:dyDescent="0.25">
      <c r="O447">
        <f ca="1"/>
        <v>0</v>
      </c>
      <c r="P447">
        <f ca="1"/>
        <v>0</v>
      </c>
      <c r="Q447">
        <f ca="1"/>
        <v>0</v>
      </c>
      <c r="R447">
        <f ca="1"/>
        <v>0</v>
      </c>
      <c r="S447">
        <f ca="1"/>
        <v>0</v>
      </c>
      <c r="T447">
        <f ca="1"/>
        <v>0</v>
      </c>
      <c r="U447">
        <f ca="1"/>
        <v>0</v>
      </c>
      <c r="V447">
        <f ca="1"/>
        <v>0</v>
      </c>
      <c r="W447">
        <f ca="1"/>
        <v>0</v>
      </c>
      <c r="X447">
        <f ca="1"/>
        <v>0</v>
      </c>
      <c r="Y447">
        <f ca="1"/>
        <v>0</v>
      </c>
      <c r="Z447">
        <f ca="1"/>
        <v>0</v>
      </c>
      <c r="AA447">
        <f ca="1"/>
        <v>0</v>
      </c>
      <c r="AB447">
        <f ca="1"/>
        <v>0</v>
      </c>
      <c r="AC447">
        <f ca="1"/>
        <v>0</v>
      </c>
    </row>
    <row r="448" spans="15:29" x14ac:dyDescent="0.25">
      <c r="O448">
        <f ca="1"/>
        <v>0</v>
      </c>
      <c r="P448">
        <f ca="1"/>
        <v>0</v>
      </c>
      <c r="Q448">
        <f ca="1"/>
        <v>0</v>
      </c>
      <c r="R448">
        <f ca="1"/>
        <v>0</v>
      </c>
      <c r="S448">
        <f ca="1"/>
        <v>0</v>
      </c>
      <c r="T448">
        <f ca="1"/>
        <v>0</v>
      </c>
      <c r="U448">
        <f ca="1"/>
        <v>0</v>
      </c>
      <c r="V448">
        <f ca="1"/>
        <v>0</v>
      </c>
      <c r="W448">
        <f ca="1"/>
        <v>0</v>
      </c>
      <c r="X448">
        <f ca="1"/>
        <v>0</v>
      </c>
      <c r="Y448">
        <f ca="1"/>
        <v>0</v>
      </c>
      <c r="Z448">
        <f ca="1"/>
        <v>0</v>
      </c>
      <c r="AA448">
        <f ca="1"/>
        <v>0</v>
      </c>
      <c r="AB448">
        <f ca="1"/>
        <v>0</v>
      </c>
      <c r="AC448">
        <f ca="1"/>
        <v>0</v>
      </c>
    </row>
    <row r="449" spans="15:29" x14ac:dyDescent="0.25">
      <c r="O449">
        <f ca="1"/>
        <v>0</v>
      </c>
      <c r="P449">
        <f ca="1"/>
        <v>0</v>
      </c>
      <c r="Q449">
        <f ca="1"/>
        <v>0</v>
      </c>
      <c r="R449">
        <f ca="1"/>
        <v>0</v>
      </c>
      <c r="S449">
        <f ca="1"/>
        <v>0</v>
      </c>
      <c r="T449">
        <f ca="1"/>
        <v>0</v>
      </c>
      <c r="U449">
        <f ca="1"/>
        <v>0</v>
      </c>
      <c r="V449">
        <f ca="1"/>
        <v>0</v>
      </c>
      <c r="W449">
        <f ca="1"/>
        <v>0</v>
      </c>
      <c r="X449">
        <f ca="1"/>
        <v>0</v>
      </c>
      <c r="Y449">
        <f ca="1"/>
        <v>0</v>
      </c>
      <c r="Z449">
        <f ca="1"/>
        <v>0</v>
      </c>
      <c r="AA449">
        <f ca="1"/>
        <v>0</v>
      </c>
      <c r="AB449">
        <f ca="1"/>
        <v>0</v>
      </c>
      <c r="AC449">
        <f ca="1"/>
        <v>0</v>
      </c>
    </row>
    <row r="450" spans="15:29" x14ac:dyDescent="0.25">
      <c r="O450">
        <f ca="1"/>
        <v>0</v>
      </c>
      <c r="P450">
        <f ca="1"/>
        <v>0</v>
      </c>
      <c r="Q450">
        <f ca="1"/>
        <v>0</v>
      </c>
      <c r="R450">
        <f ca="1"/>
        <v>0</v>
      </c>
      <c r="S450">
        <f ca="1"/>
        <v>0</v>
      </c>
      <c r="T450">
        <f ca="1"/>
        <v>0</v>
      </c>
      <c r="U450">
        <f ca="1"/>
        <v>0</v>
      </c>
      <c r="V450">
        <f ca="1"/>
        <v>0</v>
      </c>
      <c r="W450">
        <f ca="1"/>
        <v>0</v>
      </c>
      <c r="X450">
        <f ca="1"/>
        <v>0</v>
      </c>
      <c r="Y450">
        <f ca="1"/>
        <v>0</v>
      </c>
      <c r="Z450">
        <f ca="1"/>
        <v>0</v>
      </c>
      <c r="AA450">
        <f ca="1"/>
        <v>0</v>
      </c>
      <c r="AB450">
        <f ca="1"/>
        <v>0</v>
      </c>
      <c r="AC450">
        <f ca="1"/>
        <v>0</v>
      </c>
    </row>
    <row r="451" spans="15:29" x14ac:dyDescent="0.25">
      <c r="O451">
        <f ca="1"/>
        <v>0</v>
      </c>
      <c r="P451">
        <f ca="1"/>
        <v>0</v>
      </c>
      <c r="Q451">
        <f ca="1"/>
        <v>0</v>
      </c>
      <c r="R451">
        <f ca="1"/>
        <v>0</v>
      </c>
      <c r="S451">
        <f ca="1"/>
        <v>0</v>
      </c>
      <c r="T451">
        <f ca="1"/>
        <v>0</v>
      </c>
      <c r="U451">
        <f ca="1"/>
        <v>0</v>
      </c>
      <c r="V451">
        <f ca="1"/>
        <v>0</v>
      </c>
      <c r="W451">
        <f ca="1"/>
        <v>0</v>
      </c>
      <c r="X451">
        <f ca="1"/>
        <v>0</v>
      </c>
      <c r="Y451">
        <f ca="1"/>
        <v>0</v>
      </c>
      <c r="Z451">
        <f ca="1"/>
        <v>0</v>
      </c>
      <c r="AA451">
        <f ca="1"/>
        <v>0</v>
      </c>
      <c r="AB451">
        <f ca="1"/>
        <v>0</v>
      </c>
      <c r="AC451">
        <f ca="1"/>
        <v>0</v>
      </c>
    </row>
    <row r="452" spans="15:29" x14ac:dyDescent="0.25">
      <c r="O452">
        <f ca="1"/>
        <v>0</v>
      </c>
      <c r="P452">
        <f ca="1"/>
        <v>0</v>
      </c>
      <c r="Q452">
        <f ca="1"/>
        <v>0</v>
      </c>
      <c r="R452">
        <f ca="1"/>
        <v>0</v>
      </c>
      <c r="S452">
        <f ca="1"/>
        <v>0</v>
      </c>
      <c r="T452">
        <f ca="1"/>
        <v>0</v>
      </c>
      <c r="U452">
        <f ca="1"/>
        <v>0</v>
      </c>
      <c r="V452">
        <f ca="1"/>
        <v>0</v>
      </c>
      <c r="W452">
        <f ca="1"/>
        <v>0</v>
      </c>
      <c r="X452">
        <f ca="1"/>
        <v>0</v>
      </c>
      <c r="Y452">
        <f ca="1"/>
        <v>0</v>
      </c>
      <c r="Z452">
        <f ca="1"/>
        <v>0</v>
      </c>
      <c r="AA452">
        <f ca="1"/>
        <v>0</v>
      </c>
      <c r="AB452">
        <f ca="1"/>
        <v>0</v>
      </c>
      <c r="AC452">
        <f ca="1"/>
        <v>0</v>
      </c>
    </row>
    <row r="453" spans="15:29" x14ac:dyDescent="0.25">
      <c r="O453">
        <f ca="1"/>
        <v>0</v>
      </c>
      <c r="P453">
        <f ca="1"/>
        <v>0</v>
      </c>
      <c r="Q453">
        <f ca="1"/>
        <v>0</v>
      </c>
      <c r="R453">
        <f ca="1"/>
        <v>0</v>
      </c>
      <c r="S453">
        <f ca="1"/>
        <v>0</v>
      </c>
      <c r="T453">
        <f ca="1"/>
        <v>0</v>
      </c>
      <c r="U453">
        <f ca="1"/>
        <v>0</v>
      </c>
      <c r="V453">
        <f ca="1"/>
        <v>0</v>
      </c>
      <c r="W453">
        <f ca="1"/>
        <v>0</v>
      </c>
      <c r="X453">
        <f ca="1"/>
        <v>0</v>
      </c>
      <c r="Y453">
        <f ca="1"/>
        <v>0</v>
      </c>
      <c r="Z453">
        <f ca="1"/>
        <v>0</v>
      </c>
      <c r="AA453">
        <f ca="1"/>
        <v>0</v>
      </c>
      <c r="AB453">
        <f ca="1"/>
        <v>0</v>
      </c>
      <c r="AC453">
        <f ca="1"/>
        <v>0</v>
      </c>
    </row>
    <row r="454" spans="15:29" x14ac:dyDescent="0.25">
      <c r="O454">
        <f ca="1"/>
        <v>0</v>
      </c>
      <c r="P454">
        <f ca="1"/>
        <v>0</v>
      </c>
      <c r="Q454">
        <f ca="1"/>
        <v>0</v>
      </c>
      <c r="R454">
        <f ca="1"/>
        <v>0</v>
      </c>
      <c r="S454">
        <f ca="1"/>
        <v>0</v>
      </c>
      <c r="T454">
        <f ca="1"/>
        <v>0</v>
      </c>
      <c r="U454">
        <f ca="1"/>
        <v>0</v>
      </c>
      <c r="V454">
        <f ca="1"/>
        <v>0</v>
      </c>
      <c r="W454">
        <f ca="1"/>
        <v>0</v>
      </c>
      <c r="X454">
        <f ca="1"/>
        <v>0</v>
      </c>
      <c r="Y454">
        <f ca="1"/>
        <v>0</v>
      </c>
      <c r="Z454">
        <f ca="1"/>
        <v>0</v>
      </c>
      <c r="AA454">
        <f ca="1"/>
        <v>0</v>
      </c>
      <c r="AB454">
        <f ca="1"/>
        <v>0</v>
      </c>
      <c r="AC454">
        <f ca="1"/>
        <v>0</v>
      </c>
    </row>
    <row r="455" spans="15:29" x14ac:dyDescent="0.25">
      <c r="O455">
        <f ca="1"/>
        <v>0</v>
      </c>
      <c r="P455">
        <f ca="1"/>
        <v>0</v>
      </c>
      <c r="Q455">
        <f ca="1"/>
        <v>0</v>
      </c>
      <c r="R455">
        <f ca="1"/>
        <v>0</v>
      </c>
      <c r="S455">
        <f ca="1"/>
        <v>0</v>
      </c>
      <c r="T455">
        <f ca="1"/>
        <v>0</v>
      </c>
      <c r="U455">
        <f ca="1"/>
        <v>0</v>
      </c>
      <c r="V455">
        <f ca="1"/>
        <v>0</v>
      </c>
      <c r="W455">
        <f ca="1"/>
        <v>0</v>
      </c>
      <c r="X455">
        <f ca="1"/>
        <v>0</v>
      </c>
      <c r="Y455">
        <f ca="1"/>
        <v>0</v>
      </c>
      <c r="Z455">
        <f ca="1"/>
        <v>0</v>
      </c>
      <c r="AA455">
        <f ca="1"/>
        <v>0</v>
      </c>
      <c r="AB455">
        <f ca="1"/>
        <v>0</v>
      </c>
      <c r="AC455">
        <f ca="1"/>
        <v>0</v>
      </c>
    </row>
    <row r="456" spans="15:29" x14ac:dyDescent="0.25">
      <c r="O456">
        <f ca="1"/>
        <v>0</v>
      </c>
      <c r="P456">
        <f ca="1"/>
        <v>0</v>
      </c>
      <c r="Q456">
        <f ca="1"/>
        <v>0</v>
      </c>
      <c r="R456">
        <f ca="1"/>
        <v>0</v>
      </c>
      <c r="S456">
        <f ca="1"/>
        <v>0</v>
      </c>
      <c r="T456">
        <f ca="1"/>
        <v>0</v>
      </c>
      <c r="U456">
        <f ca="1"/>
        <v>0</v>
      </c>
      <c r="V456">
        <f ca="1"/>
        <v>0</v>
      </c>
      <c r="W456">
        <f ca="1"/>
        <v>0</v>
      </c>
      <c r="X456">
        <f ca="1"/>
        <v>0</v>
      </c>
      <c r="Y456">
        <f ca="1"/>
        <v>0</v>
      </c>
      <c r="Z456">
        <f ca="1"/>
        <v>0</v>
      </c>
      <c r="AA456">
        <f ca="1"/>
        <v>0</v>
      </c>
      <c r="AB456">
        <f ca="1"/>
        <v>0</v>
      </c>
      <c r="AC456">
        <f ca="1"/>
        <v>0</v>
      </c>
    </row>
    <row r="457" spans="15:29" x14ac:dyDescent="0.25">
      <c r="O457">
        <f ca="1"/>
        <v>0</v>
      </c>
      <c r="P457">
        <f ca="1"/>
        <v>0</v>
      </c>
      <c r="Q457">
        <f ca="1"/>
        <v>0</v>
      </c>
      <c r="R457">
        <f ca="1"/>
        <v>0</v>
      </c>
      <c r="S457">
        <f ca="1"/>
        <v>0</v>
      </c>
      <c r="T457">
        <f ca="1"/>
        <v>0</v>
      </c>
      <c r="U457">
        <f ca="1"/>
        <v>0</v>
      </c>
      <c r="V457">
        <f ca="1"/>
        <v>0</v>
      </c>
      <c r="W457">
        <f ca="1"/>
        <v>0</v>
      </c>
      <c r="X457">
        <f ca="1"/>
        <v>0</v>
      </c>
      <c r="Y457">
        <f ca="1"/>
        <v>0</v>
      </c>
      <c r="Z457">
        <f ca="1"/>
        <v>0</v>
      </c>
      <c r="AA457">
        <f ca="1"/>
        <v>0</v>
      </c>
      <c r="AB457">
        <f ca="1"/>
        <v>0</v>
      </c>
      <c r="AC457">
        <f ca="1"/>
        <v>0</v>
      </c>
    </row>
    <row r="458" spans="15:29" x14ac:dyDescent="0.25">
      <c r="O458">
        <f ca="1"/>
        <v>0</v>
      </c>
      <c r="P458">
        <f ca="1"/>
        <v>0</v>
      </c>
      <c r="Q458">
        <f ca="1"/>
        <v>0</v>
      </c>
      <c r="R458">
        <f ca="1"/>
        <v>0</v>
      </c>
      <c r="S458">
        <f ca="1"/>
        <v>0</v>
      </c>
      <c r="T458">
        <f ca="1"/>
        <v>0</v>
      </c>
      <c r="U458">
        <f ca="1"/>
        <v>0</v>
      </c>
      <c r="V458">
        <f ca="1"/>
        <v>0</v>
      </c>
      <c r="W458">
        <f ca="1"/>
        <v>0</v>
      </c>
      <c r="X458">
        <f ca="1"/>
        <v>0</v>
      </c>
      <c r="Y458">
        <f ca="1"/>
        <v>0</v>
      </c>
      <c r="Z458">
        <f ca="1"/>
        <v>0</v>
      </c>
      <c r="AA458">
        <f ca="1"/>
        <v>0</v>
      </c>
      <c r="AB458">
        <f ca="1"/>
        <v>0</v>
      </c>
      <c r="AC458">
        <f ca="1"/>
        <v>0</v>
      </c>
    </row>
    <row r="459" spans="15:29" x14ac:dyDescent="0.25">
      <c r="O459">
        <f ca="1"/>
        <v>0</v>
      </c>
      <c r="P459">
        <f ca="1"/>
        <v>0</v>
      </c>
      <c r="Q459">
        <f ca="1"/>
        <v>0</v>
      </c>
      <c r="R459">
        <f ca="1"/>
        <v>0</v>
      </c>
      <c r="S459">
        <f ca="1"/>
        <v>0</v>
      </c>
      <c r="T459">
        <f ca="1"/>
        <v>0</v>
      </c>
      <c r="U459">
        <f ca="1"/>
        <v>0</v>
      </c>
      <c r="V459">
        <f ca="1"/>
        <v>0</v>
      </c>
      <c r="W459">
        <f ca="1"/>
        <v>0</v>
      </c>
      <c r="X459">
        <f ca="1"/>
        <v>0</v>
      </c>
      <c r="Y459">
        <f ca="1"/>
        <v>0</v>
      </c>
      <c r="Z459">
        <f ca="1"/>
        <v>0</v>
      </c>
      <c r="AA459">
        <f ca="1"/>
        <v>0</v>
      </c>
      <c r="AB459">
        <f ca="1"/>
        <v>0</v>
      </c>
      <c r="AC459">
        <f ca="1"/>
        <v>0</v>
      </c>
    </row>
    <row r="460" spans="15:29" x14ac:dyDescent="0.25">
      <c r="O460">
        <f ca="1"/>
        <v>0</v>
      </c>
      <c r="P460">
        <f ca="1"/>
        <v>0</v>
      </c>
      <c r="Q460">
        <f ca="1"/>
        <v>0</v>
      </c>
      <c r="R460">
        <f ca="1"/>
        <v>0</v>
      </c>
      <c r="S460">
        <f ca="1"/>
        <v>0</v>
      </c>
      <c r="T460">
        <f ca="1"/>
        <v>0</v>
      </c>
      <c r="U460">
        <f ca="1"/>
        <v>0</v>
      </c>
      <c r="V460">
        <f ca="1"/>
        <v>0</v>
      </c>
      <c r="W460">
        <f ca="1"/>
        <v>0</v>
      </c>
      <c r="X460">
        <f ca="1"/>
        <v>0</v>
      </c>
      <c r="Y460">
        <f ca="1"/>
        <v>0</v>
      </c>
      <c r="Z460">
        <f ca="1"/>
        <v>0</v>
      </c>
      <c r="AA460">
        <f ca="1"/>
        <v>0</v>
      </c>
      <c r="AB460">
        <f ca="1"/>
        <v>0</v>
      </c>
      <c r="AC460">
        <f ca="1"/>
        <v>0</v>
      </c>
    </row>
    <row r="461" spans="15:29" x14ac:dyDescent="0.25">
      <c r="O461">
        <f ca="1"/>
        <v>0</v>
      </c>
      <c r="P461">
        <f ca="1"/>
        <v>0</v>
      </c>
      <c r="Q461">
        <f ca="1"/>
        <v>0</v>
      </c>
      <c r="R461">
        <f ca="1"/>
        <v>0</v>
      </c>
      <c r="S461">
        <f ca="1"/>
        <v>0</v>
      </c>
      <c r="T461">
        <f ca="1"/>
        <v>0</v>
      </c>
      <c r="U461">
        <f ca="1"/>
        <v>0</v>
      </c>
      <c r="V461">
        <f ca="1"/>
        <v>0</v>
      </c>
      <c r="W461">
        <f ca="1"/>
        <v>0</v>
      </c>
      <c r="X461">
        <f ca="1"/>
        <v>0</v>
      </c>
      <c r="Y461">
        <f ca="1"/>
        <v>0</v>
      </c>
      <c r="Z461">
        <f ca="1"/>
        <v>0</v>
      </c>
      <c r="AA461">
        <f ca="1"/>
        <v>0</v>
      </c>
      <c r="AB461">
        <f ca="1"/>
        <v>0</v>
      </c>
      <c r="AC461">
        <f ca="1"/>
        <v>0</v>
      </c>
    </row>
    <row r="462" spans="15:29" x14ac:dyDescent="0.25">
      <c r="O462">
        <f ca="1"/>
        <v>0</v>
      </c>
      <c r="P462">
        <f ca="1"/>
        <v>0</v>
      </c>
      <c r="Q462">
        <f ca="1"/>
        <v>0</v>
      </c>
      <c r="R462">
        <f ca="1"/>
        <v>0</v>
      </c>
      <c r="S462">
        <f ca="1"/>
        <v>0</v>
      </c>
      <c r="T462">
        <f ca="1"/>
        <v>0</v>
      </c>
      <c r="U462">
        <f ca="1"/>
        <v>0</v>
      </c>
      <c r="V462">
        <f ca="1"/>
        <v>0</v>
      </c>
      <c r="W462">
        <f ca="1"/>
        <v>0</v>
      </c>
      <c r="X462">
        <f ca="1"/>
        <v>0</v>
      </c>
      <c r="Y462">
        <f ca="1"/>
        <v>0</v>
      </c>
      <c r="Z462">
        <f ca="1"/>
        <v>0</v>
      </c>
      <c r="AA462">
        <f ca="1"/>
        <v>0</v>
      </c>
      <c r="AB462">
        <f ca="1"/>
        <v>0</v>
      </c>
      <c r="AC462">
        <f ca="1"/>
        <v>0</v>
      </c>
    </row>
    <row r="463" spans="15:29" x14ac:dyDescent="0.25">
      <c r="O463">
        <f ca="1"/>
        <v>0</v>
      </c>
      <c r="P463">
        <f ca="1"/>
        <v>0</v>
      </c>
      <c r="Q463">
        <f ca="1"/>
        <v>0</v>
      </c>
      <c r="R463">
        <f ca="1"/>
        <v>0</v>
      </c>
      <c r="S463">
        <f ca="1"/>
        <v>0</v>
      </c>
      <c r="T463">
        <f ca="1"/>
        <v>0</v>
      </c>
      <c r="U463">
        <f ca="1"/>
        <v>0</v>
      </c>
      <c r="V463">
        <f ca="1"/>
        <v>0</v>
      </c>
      <c r="W463">
        <f ca="1"/>
        <v>0</v>
      </c>
      <c r="X463">
        <f ca="1"/>
        <v>0</v>
      </c>
      <c r="Y463">
        <f ca="1"/>
        <v>0</v>
      </c>
      <c r="Z463">
        <f ca="1"/>
        <v>0</v>
      </c>
      <c r="AA463">
        <f ca="1"/>
        <v>0</v>
      </c>
      <c r="AB463">
        <f ca="1"/>
        <v>0</v>
      </c>
      <c r="AC463">
        <f ca="1"/>
        <v>0</v>
      </c>
    </row>
    <row r="464" spans="15:29" x14ac:dyDescent="0.25">
      <c r="O464">
        <f ca="1"/>
        <v>0</v>
      </c>
      <c r="P464">
        <f ca="1"/>
        <v>0</v>
      </c>
      <c r="Q464">
        <f ca="1"/>
        <v>0</v>
      </c>
      <c r="R464">
        <f ca="1"/>
        <v>0</v>
      </c>
      <c r="S464">
        <f ca="1"/>
        <v>0</v>
      </c>
      <c r="T464">
        <f ca="1"/>
        <v>0</v>
      </c>
      <c r="U464">
        <f ca="1"/>
        <v>0</v>
      </c>
      <c r="V464">
        <f ca="1"/>
        <v>0</v>
      </c>
      <c r="W464">
        <f ca="1"/>
        <v>0</v>
      </c>
      <c r="X464">
        <f ca="1"/>
        <v>0</v>
      </c>
      <c r="Y464">
        <f ca="1"/>
        <v>0</v>
      </c>
      <c r="Z464">
        <f ca="1"/>
        <v>0</v>
      </c>
      <c r="AA464">
        <f ca="1"/>
        <v>0</v>
      </c>
      <c r="AB464">
        <f ca="1"/>
        <v>0</v>
      </c>
      <c r="AC464">
        <f ca="1"/>
        <v>0</v>
      </c>
    </row>
    <row r="465" spans="15:29" x14ac:dyDescent="0.25">
      <c r="O465">
        <f ca="1"/>
        <v>0</v>
      </c>
      <c r="P465">
        <f ca="1"/>
        <v>0</v>
      </c>
      <c r="Q465">
        <f ca="1"/>
        <v>0</v>
      </c>
      <c r="R465">
        <f ca="1"/>
        <v>0</v>
      </c>
      <c r="S465">
        <f ca="1"/>
        <v>0</v>
      </c>
      <c r="T465">
        <f ca="1"/>
        <v>0</v>
      </c>
      <c r="U465">
        <f ca="1"/>
        <v>0</v>
      </c>
      <c r="V465">
        <f ca="1"/>
        <v>0</v>
      </c>
      <c r="W465">
        <f ca="1"/>
        <v>0</v>
      </c>
      <c r="X465">
        <f ca="1"/>
        <v>0</v>
      </c>
      <c r="Y465">
        <f ca="1"/>
        <v>0</v>
      </c>
      <c r="Z465">
        <f ca="1"/>
        <v>0</v>
      </c>
      <c r="AA465">
        <f ca="1"/>
        <v>0</v>
      </c>
      <c r="AB465">
        <f ca="1"/>
        <v>0</v>
      </c>
      <c r="AC465">
        <f ca="1"/>
        <v>0</v>
      </c>
    </row>
    <row r="466" spans="15:29" x14ac:dyDescent="0.25">
      <c r="O466">
        <f ca="1"/>
        <v>0</v>
      </c>
      <c r="P466">
        <f ca="1"/>
        <v>0</v>
      </c>
      <c r="Q466">
        <f ca="1"/>
        <v>0</v>
      </c>
      <c r="R466">
        <f ca="1"/>
        <v>0</v>
      </c>
      <c r="S466">
        <f ca="1"/>
        <v>0</v>
      </c>
      <c r="T466">
        <f ca="1"/>
        <v>0</v>
      </c>
      <c r="U466">
        <f ca="1"/>
        <v>0</v>
      </c>
      <c r="V466">
        <f ca="1"/>
        <v>0</v>
      </c>
      <c r="W466">
        <f ca="1"/>
        <v>0</v>
      </c>
      <c r="X466">
        <f ca="1"/>
        <v>0</v>
      </c>
      <c r="Y466">
        <f ca="1"/>
        <v>0</v>
      </c>
      <c r="Z466">
        <f ca="1"/>
        <v>0</v>
      </c>
      <c r="AA466">
        <f ca="1"/>
        <v>0</v>
      </c>
      <c r="AB466">
        <f ca="1"/>
        <v>0</v>
      </c>
      <c r="AC466">
        <f ca="1"/>
        <v>0</v>
      </c>
    </row>
    <row r="467" spans="15:29" x14ac:dyDescent="0.25">
      <c r="O467">
        <f ca="1"/>
        <v>0</v>
      </c>
      <c r="P467">
        <f ca="1"/>
        <v>0</v>
      </c>
      <c r="Q467">
        <f ca="1"/>
        <v>0</v>
      </c>
      <c r="R467">
        <f ca="1"/>
        <v>0</v>
      </c>
      <c r="S467">
        <f ca="1"/>
        <v>0</v>
      </c>
      <c r="T467">
        <f ca="1"/>
        <v>0</v>
      </c>
      <c r="U467">
        <f ca="1"/>
        <v>0</v>
      </c>
      <c r="V467">
        <f ca="1"/>
        <v>0</v>
      </c>
      <c r="W467">
        <f ca="1"/>
        <v>0</v>
      </c>
      <c r="X467">
        <f ca="1"/>
        <v>0</v>
      </c>
      <c r="Y467">
        <f ca="1"/>
        <v>0</v>
      </c>
      <c r="Z467">
        <f ca="1"/>
        <v>0</v>
      </c>
      <c r="AA467">
        <f ca="1"/>
        <v>0</v>
      </c>
      <c r="AB467">
        <f ca="1"/>
        <v>0</v>
      </c>
      <c r="AC467">
        <f ca="1"/>
        <v>0</v>
      </c>
    </row>
    <row r="468" spans="15:29" x14ac:dyDescent="0.25">
      <c r="O468">
        <f ca="1"/>
        <v>0</v>
      </c>
      <c r="P468">
        <f ca="1"/>
        <v>0</v>
      </c>
      <c r="Q468">
        <f ca="1"/>
        <v>0</v>
      </c>
      <c r="R468">
        <f ca="1"/>
        <v>0</v>
      </c>
      <c r="S468">
        <f ca="1"/>
        <v>0</v>
      </c>
      <c r="T468">
        <f ca="1"/>
        <v>0</v>
      </c>
      <c r="U468">
        <f ca="1"/>
        <v>0</v>
      </c>
      <c r="V468">
        <f ca="1"/>
        <v>0</v>
      </c>
      <c r="W468">
        <f ca="1"/>
        <v>0</v>
      </c>
      <c r="X468">
        <f ca="1"/>
        <v>0</v>
      </c>
      <c r="Y468">
        <f ca="1"/>
        <v>0</v>
      </c>
      <c r="Z468">
        <f ca="1"/>
        <v>0</v>
      </c>
      <c r="AA468">
        <f ca="1"/>
        <v>0</v>
      </c>
      <c r="AB468">
        <f ca="1"/>
        <v>0</v>
      </c>
      <c r="AC468">
        <f ca="1"/>
        <v>0</v>
      </c>
    </row>
    <row r="469" spans="15:29" x14ac:dyDescent="0.25">
      <c r="O469">
        <f ca="1"/>
        <v>0</v>
      </c>
      <c r="P469">
        <f ca="1"/>
        <v>0</v>
      </c>
      <c r="Q469">
        <f ca="1"/>
        <v>0</v>
      </c>
      <c r="R469">
        <f ca="1"/>
        <v>0</v>
      </c>
      <c r="S469">
        <f ca="1"/>
        <v>0</v>
      </c>
      <c r="T469">
        <f ca="1"/>
        <v>0</v>
      </c>
      <c r="U469">
        <f ca="1"/>
        <v>0</v>
      </c>
      <c r="V469">
        <f ca="1"/>
        <v>0</v>
      </c>
      <c r="W469">
        <f ca="1"/>
        <v>0</v>
      </c>
      <c r="X469">
        <f ca="1"/>
        <v>0</v>
      </c>
      <c r="Y469">
        <f ca="1"/>
        <v>0</v>
      </c>
      <c r="Z469">
        <f ca="1"/>
        <v>0</v>
      </c>
      <c r="AA469">
        <f ca="1"/>
        <v>0</v>
      </c>
      <c r="AB469">
        <f ca="1"/>
        <v>0</v>
      </c>
      <c r="AC469">
        <f ca="1"/>
        <v>0</v>
      </c>
    </row>
    <row r="470" spans="15:29" x14ac:dyDescent="0.25">
      <c r="O470">
        <f ca="1"/>
        <v>0</v>
      </c>
      <c r="P470">
        <f ca="1"/>
        <v>0</v>
      </c>
      <c r="Q470">
        <f ca="1"/>
        <v>0</v>
      </c>
      <c r="R470">
        <f ca="1"/>
        <v>0</v>
      </c>
      <c r="S470">
        <f ca="1"/>
        <v>0</v>
      </c>
      <c r="T470">
        <f ca="1"/>
        <v>0</v>
      </c>
      <c r="U470">
        <f ca="1"/>
        <v>0</v>
      </c>
      <c r="V470">
        <f ca="1"/>
        <v>0</v>
      </c>
      <c r="W470">
        <f ca="1"/>
        <v>0</v>
      </c>
      <c r="X470">
        <f ca="1"/>
        <v>0</v>
      </c>
      <c r="Y470">
        <f ca="1"/>
        <v>0</v>
      </c>
      <c r="Z470">
        <f ca="1"/>
        <v>0</v>
      </c>
      <c r="AA470">
        <f ca="1"/>
        <v>0</v>
      </c>
      <c r="AB470">
        <f ca="1"/>
        <v>0</v>
      </c>
      <c r="AC470">
        <f ca="1"/>
        <v>0</v>
      </c>
    </row>
    <row r="471" spans="15:29" x14ac:dyDescent="0.25">
      <c r="O471">
        <f ca="1"/>
        <v>0</v>
      </c>
      <c r="P471">
        <f ca="1"/>
        <v>0</v>
      </c>
      <c r="Q471">
        <f ca="1"/>
        <v>0</v>
      </c>
      <c r="R471">
        <f ca="1"/>
        <v>0</v>
      </c>
      <c r="S471">
        <f ca="1"/>
        <v>0</v>
      </c>
      <c r="T471">
        <f ca="1"/>
        <v>0</v>
      </c>
      <c r="U471">
        <f ca="1"/>
        <v>0</v>
      </c>
      <c r="V471">
        <f ca="1"/>
        <v>0</v>
      </c>
      <c r="W471">
        <f ca="1"/>
        <v>0</v>
      </c>
      <c r="X471">
        <f ca="1"/>
        <v>0</v>
      </c>
      <c r="Y471">
        <f ca="1"/>
        <v>0</v>
      </c>
      <c r="Z471">
        <f ca="1"/>
        <v>0</v>
      </c>
      <c r="AA471">
        <f ca="1"/>
        <v>0</v>
      </c>
      <c r="AB471">
        <f ca="1"/>
        <v>0</v>
      </c>
      <c r="AC471">
        <f ca="1"/>
        <v>0</v>
      </c>
    </row>
    <row r="472" spans="15:29" x14ac:dyDescent="0.25">
      <c r="O472">
        <f ca="1"/>
        <v>0</v>
      </c>
      <c r="P472">
        <f ca="1"/>
        <v>0</v>
      </c>
      <c r="Q472">
        <f ca="1"/>
        <v>0</v>
      </c>
      <c r="R472">
        <f ca="1"/>
        <v>0</v>
      </c>
      <c r="S472">
        <f ca="1"/>
        <v>0</v>
      </c>
      <c r="T472">
        <f ca="1"/>
        <v>0</v>
      </c>
      <c r="U472">
        <f ca="1"/>
        <v>0</v>
      </c>
      <c r="V472">
        <f ca="1"/>
        <v>0</v>
      </c>
      <c r="W472">
        <f ca="1"/>
        <v>0</v>
      </c>
      <c r="X472">
        <f ca="1"/>
        <v>0</v>
      </c>
      <c r="Y472">
        <f ca="1"/>
        <v>0</v>
      </c>
      <c r="Z472">
        <f ca="1"/>
        <v>0</v>
      </c>
      <c r="AA472">
        <f ca="1"/>
        <v>0</v>
      </c>
      <c r="AB472">
        <f ca="1"/>
        <v>0</v>
      </c>
      <c r="AC472">
        <f ca="1"/>
        <v>0</v>
      </c>
    </row>
    <row r="473" spans="15:29" x14ac:dyDescent="0.25">
      <c r="O473">
        <f ca="1"/>
        <v>0</v>
      </c>
      <c r="P473">
        <f ca="1"/>
        <v>0</v>
      </c>
      <c r="Q473">
        <f ca="1"/>
        <v>0</v>
      </c>
      <c r="R473">
        <f ca="1"/>
        <v>0</v>
      </c>
      <c r="S473">
        <f ca="1"/>
        <v>0</v>
      </c>
      <c r="T473">
        <f ca="1"/>
        <v>0</v>
      </c>
      <c r="U473">
        <f ca="1"/>
        <v>0</v>
      </c>
      <c r="V473">
        <f ca="1"/>
        <v>0</v>
      </c>
      <c r="W473">
        <f ca="1"/>
        <v>0</v>
      </c>
      <c r="X473">
        <f ca="1"/>
        <v>0</v>
      </c>
      <c r="Y473">
        <f ca="1"/>
        <v>0</v>
      </c>
      <c r="Z473">
        <f ca="1"/>
        <v>0</v>
      </c>
      <c r="AA473">
        <f ca="1"/>
        <v>0</v>
      </c>
      <c r="AB473">
        <f ca="1"/>
        <v>0</v>
      </c>
      <c r="AC473">
        <f ca="1"/>
        <v>0</v>
      </c>
    </row>
    <row r="474" spans="15:29" x14ac:dyDescent="0.25">
      <c r="O474">
        <f ca="1"/>
        <v>0</v>
      </c>
      <c r="P474">
        <f ca="1"/>
        <v>0</v>
      </c>
      <c r="Q474">
        <f ca="1"/>
        <v>0</v>
      </c>
      <c r="R474">
        <f ca="1"/>
        <v>0</v>
      </c>
      <c r="S474">
        <f ca="1"/>
        <v>0</v>
      </c>
      <c r="T474">
        <f ca="1"/>
        <v>0</v>
      </c>
      <c r="U474">
        <f ca="1"/>
        <v>0</v>
      </c>
      <c r="V474">
        <f ca="1"/>
        <v>0</v>
      </c>
      <c r="W474">
        <f ca="1"/>
        <v>0</v>
      </c>
      <c r="X474">
        <f ca="1"/>
        <v>0</v>
      </c>
      <c r="Y474">
        <f ca="1"/>
        <v>0</v>
      </c>
      <c r="Z474">
        <f ca="1"/>
        <v>0</v>
      </c>
      <c r="AA474">
        <f ca="1"/>
        <v>0</v>
      </c>
      <c r="AB474">
        <f ca="1"/>
        <v>0</v>
      </c>
      <c r="AC474">
        <f ca="1"/>
        <v>0</v>
      </c>
    </row>
    <row r="475" spans="15:29" x14ac:dyDescent="0.25">
      <c r="O475">
        <f ca="1"/>
        <v>0</v>
      </c>
      <c r="P475">
        <f ca="1"/>
        <v>0</v>
      </c>
      <c r="Q475">
        <f ca="1"/>
        <v>0</v>
      </c>
      <c r="R475">
        <f ca="1"/>
        <v>0</v>
      </c>
      <c r="S475">
        <f ca="1"/>
        <v>0</v>
      </c>
      <c r="T475">
        <f ca="1"/>
        <v>0</v>
      </c>
      <c r="U475">
        <f ca="1"/>
        <v>0</v>
      </c>
      <c r="V475">
        <f ca="1"/>
        <v>0</v>
      </c>
      <c r="W475">
        <f ca="1"/>
        <v>0</v>
      </c>
      <c r="X475">
        <f ca="1"/>
        <v>0</v>
      </c>
      <c r="Y475">
        <f ca="1"/>
        <v>0</v>
      </c>
      <c r="Z475">
        <f ca="1"/>
        <v>0</v>
      </c>
      <c r="AA475">
        <f ca="1"/>
        <v>0</v>
      </c>
      <c r="AB475">
        <f ca="1"/>
        <v>0</v>
      </c>
      <c r="AC475">
        <f ca="1"/>
        <v>0</v>
      </c>
    </row>
    <row r="476" spans="15:29" x14ac:dyDescent="0.25">
      <c r="O476">
        <f ca="1"/>
        <v>0</v>
      </c>
      <c r="P476">
        <f ca="1"/>
        <v>0</v>
      </c>
      <c r="Q476">
        <f ca="1"/>
        <v>0</v>
      </c>
      <c r="R476">
        <f ca="1"/>
        <v>0</v>
      </c>
      <c r="S476">
        <f ca="1"/>
        <v>0</v>
      </c>
      <c r="T476">
        <f ca="1"/>
        <v>0</v>
      </c>
      <c r="U476">
        <f ca="1"/>
        <v>0</v>
      </c>
      <c r="V476">
        <f ca="1"/>
        <v>0</v>
      </c>
      <c r="W476">
        <f ca="1"/>
        <v>0</v>
      </c>
      <c r="X476">
        <f ca="1"/>
        <v>0</v>
      </c>
      <c r="Y476">
        <f ca="1"/>
        <v>0</v>
      </c>
      <c r="Z476">
        <f ca="1"/>
        <v>0</v>
      </c>
      <c r="AA476">
        <f ca="1"/>
        <v>0</v>
      </c>
      <c r="AB476">
        <f ca="1"/>
        <v>0</v>
      </c>
      <c r="AC476">
        <f ca="1"/>
        <v>0</v>
      </c>
    </row>
    <row r="477" spans="15:29" x14ac:dyDescent="0.25">
      <c r="O477">
        <f ca="1"/>
        <v>0</v>
      </c>
      <c r="P477">
        <f ca="1"/>
        <v>0</v>
      </c>
      <c r="Q477">
        <f ca="1"/>
        <v>0</v>
      </c>
      <c r="R477">
        <f ca="1"/>
        <v>0</v>
      </c>
      <c r="S477">
        <f ca="1"/>
        <v>0</v>
      </c>
      <c r="T477">
        <f ca="1"/>
        <v>0</v>
      </c>
      <c r="U477">
        <f ca="1"/>
        <v>0</v>
      </c>
      <c r="V477">
        <f ca="1"/>
        <v>0</v>
      </c>
      <c r="W477">
        <f ca="1"/>
        <v>0</v>
      </c>
      <c r="X477">
        <f ca="1"/>
        <v>0</v>
      </c>
      <c r="Y477">
        <f ca="1"/>
        <v>0</v>
      </c>
      <c r="Z477">
        <f ca="1"/>
        <v>0</v>
      </c>
      <c r="AA477">
        <f ca="1"/>
        <v>0</v>
      </c>
      <c r="AB477">
        <f ca="1"/>
        <v>0</v>
      </c>
      <c r="AC477">
        <f ca="1"/>
        <v>0</v>
      </c>
    </row>
    <row r="478" spans="15:29" x14ac:dyDescent="0.25">
      <c r="O478">
        <f ca="1"/>
        <v>0</v>
      </c>
      <c r="P478">
        <f ca="1"/>
        <v>0</v>
      </c>
      <c r="Q478">
        <f ca="1"/>
        <v>0</v>
      </c>
      <c r="R478">
        <f ca="1"/>
        <v>0</v>
      </c>
      <c r="S478">
        <f ca="1"/>
        <v>0</v>
      </c>
      <c r="T478">
        <f ca="1"/>
        <v>0</v>
      </c>
      <c r="U478">
        <f ca="1"/>
        <v>0</v>
      </c>
      <c r="V478">
        <f ca="1"/>
        <v>0</v>
      </c>
      <c r="W478">
        <f ca="1"/>
        <v>0</v>
      </c>
      <c r="X478">
        <f ca="1"/>
        <v>0</v>
      </c>
      <c r="Y478">
        <f ca="1"/>
        <v>0</v>
      </c>
      <c r="Z478">
        <f ca="1"/>
        <v>0</v>
      </c>
      <c r="AA478">
        <f ca="1"/>
        <v>0</v>
      </c>
      <c r="AB478">
        <f ca="1"/>
        <v>0</v>
      </c>
      <c r="AC478">
        <f ca="1"/>
        <v>0</v>
      </c>
    </row>
    <row r="479" spans="15:29" x14ac:dyDescent="0.25">
      <c r="O479">
        <f ca="1"/>
        <v>0</v>
      </c>
      <c r="P479">
        <f ca="1"/>
        <v>0</v>
      </c>
      <c r="Q479">
        <f ca="1"/>
        <v>0</v>
      </c>
      <c r="R479">
        <f ca="1"/>
        <v>0</v>
      </c>
      <c r="S479">
        <f ca="1"/>
        <v>0</v>
      </c>
      <c r="T479">
        <f ca="1"/>
        <v>0</v>
      </c>
      <c r="U479">
        <f ca="1"/>
        <v>0</v>
      </c>
      <c r="V479">
        <f ca="1"/>
        <v>0</v>
      </c>
      <c r="W479">
        <f ca="1"/>
        <v>0</v>
      </c>
      <c r="X479">
        <f ca="1"/>
        <v>0</v>
      </c>
      <c r="Y479">
        <f ca="1"/>
        <v>0</v>
      </c>
      <c r="Z479">
        <f ca="1"/>
        <v>0</v>
      </c>
      <c r="AA479">
        <f ca="1"/>
        <v>0</v>
      </c>
      <c r="AB479">
        <f ca="1"/>
        <v>0</v>
      </c>
      <c r="AC479">
        <f ca="1"/>
        <v>0</v>
      </c>
    </row>
    <row r="480" spans="15:29" x14ac:dyDescent="0.25">
      <c r="O480">
        <f ca="1"/>
        <v>0</v>
      </c>
      <c r="P480">
        <f ca="1"/>
        <v>0</v>
      </c>
      <c r="Q480">
        <f ca="1"/>
        <v>0</v>
      </c>
      <c r="R480">
        <f ca="1"/>
        <v>0</v>
      </c>
      <c r="S480">
        <f ca="1"/>
        <v>0</v>
      </c>
      <c r="T480">
        <f ca="1"/>
        <v>0</v>
      </c>
      <c r="U480">
        <f ca="1"/>
        <v>0</v>
      </c>
      <c r="V480">
        <f ca="1"/>
        <v>0</v>
      </c>
      <c r="W480">
        <f ca="1"/>
        <v>0</v>
      </c>
      <c r="X480">
        <f ca="1"/>
        <v>0</v>
      </c>
      <c r="Y480">
        <f ca="1"/>
        <v>0</v>
      </c>
      <c r="Z480">
        <f ca="1"/>
        <v>0</v>
      </c>
      <c r="AA480">
        <f ca="1"/>
        <v>0</v>
      </c>
      <c r="AB480">
        <f ca="1"/>
        <v>0</v>
      </c>
      <c r="AC480">
        <f ca="1"/>
        <v>0</v>
      </c>
    </row>
    <row r="481" spans="15:29" x14ac:dyDescent="0.25">
      <c r="O481">
        <f ca="1"/>
        <v>0</v>
      </c>
      <c r="P481">
        <f ca="1"/>
        <v>0</v>
      </c>
      <c r="Q481">
        <f ca="1"/>
        <v>0</v>
      </c>
      <c r="R481">
        <f ca="1"/>
        <v>0</v>
      </c>
      <c r="S481">
        <f ca="1"/>
        <v>0</v>
      </c>
      <c r="T481">
        <f ca="1"/>
        <v>0</v>
      </c>
      <c r="U481">
        <f ca="1"/>
        <v>0</v>
      </c>
      <c r="V481">
        <f ca="1"/>
        <v>0</v>
      </c>
      <c r="W481">
        <f ca="1"/>
        <v>0</v>
      </c>
      <c r="X481">
        <f ca="1"/>
        <v>0</v>
      </c>
      <c r="Y481">
        <f ca="1"/>
        <v>0</v>
      </c>
      <c r="Z481">
        <f ca="1"/>
        <v>0</v>
      </c>
      <c r="AA481">
        <f ca="1"/>
        <v>0</v>
      </c>
      <c r="AB481">
        <f ca="1"/>
        <v>0</v>
      </c>
      <c r="AC481">
        <f ca="1"/>
        <v>0</v>
      </c>
    </row>
    <row r="482" spans="15:29" x14ac:dyDescent="0.25">
      <c r="O482">
        <f ca="1"/>
        <v>0</v>
      </c>
      <c r="P482">
        <f ca="1"/>
        <v>0</v>
      </c>
      <c r="Q482">
        <f ca="1"/>
        <v>0</v>
      </c>
      <c r="R482">
        <f ca="1"/>
        <v>0</v>
      </c>
      <c r="S482">
        <f ca="1"/>
        <v>0</v>
      </c>
      <c r="T482">
        <f ca="1"/>
        <v>0</v>
      </c>
      <c r="U482">
        <f ca="1"/>
        <v>0</v>
      </c>
      <c r="V482">
        <f ca="1"/>
        <v>0</v>
      </c>
      <c r="W482">
        <f ca="1"/>
        <v>0</v>
      </c>
      <c r="X482">
        <f ca="1"/>
        <v>0</v>
      </c>
      <c r="Y482">
        <f ca="1"/>
        <v>0</v>
      </c>
      <c r="Z482">
        <f ca="1"/>
        <v>0</v>
      </c>
      <c r="AA482">
        <f ca="1"/>
        <v>0</v>
      </c>
      <c r="AB482">
        <f ca="1"/>
        <v>0</v>
      </c>
      <c r="AC482">
        <f ca="1"/>
        <v>0</v>
      </c>
    </row>
    <row r="483" spans="15:29" x14ac:dyDescent="0.25">
      <c r="O483">
        <f ca="1"/>
        <v>0</v>
      </c>
      <c r="P483">
        <f ca="1"/>
        <v>0</v>
      </c>
      <c r="Q483">
        <f ca="1"/>
        <v>0</v>
      </c>
      <c r="R483">
        <f ca="1"/>
        <v>0</v>
      </c>
      <c r="S483">
        <f ca="1"/>
        <v>0</v>
      </c>
      <c r="T483">
        <f ca="1"/>
        <v>0</v>
      </c>
      <c r="U483">
        <f ca="1"/>
        <v>0</v>
      </c>
      <c r="V483">
        <f ca="1"/>
        <v>0</v>
      </c>
      <c r="W483">
        <f ca="1"/>
        <v>0</v>
      </c>
      <c r="X483">
        <f ca="1"/>
        <v>0</v>
      </c>
      <c r="Y483">
        <f ca="1"/>
        <v>0</v>
      </c>
      <c r="Z483">
        <f ca="1"/>
        <v>0</v>
      </c>
      <c r="AA483">
        <f ca="1"/>
        <v>0</v>
      </c>
      <c r="AB483">
        <f ca="1"/>
        <v>0</v>
      </c>
      <c r="AC483">
        <f ca="1"/>
        <v>0</v>
      </c>
    </row>
    <row r="484" spans="15:29" x14ac:dyDescent="0.25">
      <c r="O484">
        <f ca="1"/>
        <v>0</v>
      </c>
      <c r="P484">
        <f ca="1"/>
        <v>0</v>
      </c>
      <c r="Q484">
        <f ca="1"/>
        <v>0</v>
      </c>
      <c r="R484">
        <f ca="1"/>
        <v>0</v>
      </c>
      <c r="S484">
        <f ca="1"/>
        <v>0</v>
      </c>
      <c r="T484">
        <f ca="1"/>
        <v>0</v>
      </c>
      <c r="U484">
        <f ca="1"/>
        <v>0</v>
      </c>
      <c r="V484">
        <f ca="1"/>
        <v>0</v>
      </c>
      <c r="W484">
        <f ca="1"/>
        <v>0</v>
      </c>
      <c r="X484">
        <f ca="1"/>
        <v>0</v>
      </c>
      <c r="Y484">
        <f ca="1"/>
        <v>0</v>
      </c>
      <c r="Z484">
        <f ca="1"/>
        <v>0</v>
      </c>
      <c r="AA484">
        <f ca="1"/>
        <v>0</v>
      </c>
      <c r="AB484">
        <f ca="1"/>
        <v>0</v>
      </c>
      <c r="AC484">
        <f ca="1"/>
        <v>0</v>
      </c>
    </row>
    <row r="485" spans="15:29" x14ac:dyDescent="0.25">
      <c r="O485">
        <f ca="1"/>
        <v>0</v>
      </c>
      <c r="P485">
        <f ca="1"/>
        <v>0</v>
      </c>
      <c r="Q485">
        <f ca="1"/>
        <v>0</v>
      </c>
      <c r="R485">
        <f ca="1"/>
        <v>0</v>
      </c>
      <c r="S485">
        <f ca="1"/>
        <v>0</v>
      </c>
      <c r="T485">
        <f ca="1"/>
        <v>0</v>
      </c>
      <c r="U485">
        <f ca="1"/>
        <v>0</v>
      </c>
      <c r="V485">
        <f ca="1"/>
        <v>0</v>
      </c>
      <c r="W485">
        <f ca="1"/>
        <v>0</v>
      </c>
      <c r="X485">
        <f ca="1"/>
        <v>0</v>
      </c>
      <c r="Y485">
        <f ca="1"/>
        <v>0</v>
      </c>
      <c r="Z485">
        <f ca="1"/>
        <v>0</v>
      </c>
      <c r="AA485">
        <f ca="1"/>
        <v>0</v>
      </c>
      <c r="AB485">
        <f ca="1"/>
        <v>0</v>
      </c>
      <c r="AC485">
        <f ca="1"/>
        <v>0</v>
      </c>
    </row>
    <row r="486" spans="15:29" x14ac:dyDescent="0.25">
      <c r="O486">
        <f ca="1"/>
        <v>0</v>
      </c>
      <c r="P486">
        <f ca="1"/>
        <v>0</v>
      </c>
      <c r="Q486">
        <f ca="1"/>
        <v>0</v>
      </c>
      <c r="R486">
        <f ca="1"/>
        <v>0</v>
      </c>
      <c r="S486">
        <f ca="1"/>
        <v>0</v>
      </c>
      <c r="T486">
        <f ca="1"/>
        <v>0</v>
      </c>
      <c r="U486">
        <f ca="1"/>
        <v>0</v>
      </c>
      <c r="V486">
        <f ca="1"/>
        <v>0</v>
      </c>
      <c r="W486">
        <f ca="1"/>
        <v>0</v>
      </c>
      <c r="X486">
        <f ca="1"/>
        <v>0</v>
      </c>
      <c r="Y486">
        <f ca="1"/>
        <v>0</v>
      </c>
      <c r="Z486">
        <f ca="1"/>
        <v>0</v>
      </c>
      <c r="AA486">
        <f ca="1"/>
        <v>0</v>
      </c>
      <c r="AB486">
        <f ca="1"/>
        <v>0</v>
      </c>
      <c r="AC486">
        <f ca="1"/>
        <v>0</v>
      </c>
    </row>
    <row r="487" spans="15:29" x14ac:dyDescent="0.25">
      <c r="O487">
        <f ca="1"/>
        <v>0</v>
      </c>
      <c r="P487">
        <f ca="1"/>
        <v>0</v>
      </c>
      <c r="Q487">
        <f ca="1"/>
        <v>0</v>
      </c>
      <c r="R487">
        <f ca="1"/>
        <v>0</v>
      </c>
      <c r="S487">
        <f ca="1"/>
        <v>0</v>
      </c>
      <c r="T487">
        <f ca="1"/>
        <v>0</v>
      </c>
      <c r="U487">
        <f ca="1"/>
        <v>0</v>
      </c>
      <c r="V487">
        <f ca="1"/>
        <v>0</v>
      </c>
      <c r="W487">
        <f ca="1"/>
        <v>0</v>
      </c>
      <c r="X487">
        <f ca="1"/>
        <v>0</v>
      </c>
      <c r="Y487">
        <f ca="1"/>
        <v>0</v>
      </c>
      <c r="Z487">
        <f ca="1"/>
        <v>0</v>
      </c>
      <c r="AA487">
        <f ca="1"/>
        <v>0</v>
      </c>
      <c r="AB487">
        <f ca="1"/>
        <v>0</v>
      </c>
      <c r="AC487">
        <f ca="1"/>
        <v>0</v>
      </c>
    </row>
    <row r="488" spans="15:29" x14ac:dyDescent="0.25">
      <c r="O488">
        <f ca="1"/>
        <v>0</v>
      </c>
      <c r="P488">
        <f ca="1"/>
        <v>0</v>
      </c>
      <c r="Q488">
        <f ca="1"/>
        <v>0</v>
      </c>
      <c r="R488">
        <f ca="1"/>
        <v>0</v>
      </c>
      <c r="S488">
        <f ca="1"/>
        <v>0</v>
      </c>
      <c r="T488">
        <f ca="1"/>
        <v>0</v>
      </c>
      <c r="U488">
        <f ca="1"/>
        <v>0</v>
      </c>
      <c r="V488">
        <f ca="1"/>
        <v>0</v>
      </c>
      <c r="W488">
        <f ca="1"/>
        <v>0</v>
      </c>
      <c r="X488">
        <f ca="1"/>
        <v>0</v>
      </c>
      <c r="Y488">
        <f ca="1"/>
        <v>0</v>
      </c>
      <c r="Z488">
        <f ca="1"/>
        <v>0</v>
      </c>
      <c r="AA488">
        <f ca="1"/>
        <v>0</v>
      </c>
      <c r="AB488">
        <f ca="1"/>
        <v>0</v>
      </c>
      <c r="AC488">
        <f ca="1"/>
        <v>0</v>
      </c>
    </row>
    <row r="489" spans="15:29" x14ac:dyDescent="0.25">
      <c r="O489">
        <f ca="1"/>
        <v>0</v>
      </c>
      <c r="P489">
        <f ca="1"/>
        <v>0</v>
      </c>
      <c r="Q489">
        <f ca="1"/>
        <v>0</v>
      </c>
      <c r="R489">
        <f ca="1"/>
        <v>0</v>
      </c>
      <c r="S489">
        <f ca="1"/>
        <v>0</v>
      </c>
      <c r="T489">
        <f ca="1"/>
        <v>0</v>
      </c>
      <c r="U489">
        <f ca="1"/>
        <v>0</v>
      </c>
      <c r="V489">
        <f ca="1"/>
        <v>0</v>
      </c>
      <c r="W489">
        <f ca="1"/>
        <v>0</v>
      </c>
      <c r="X489">
        <f ca="1"/>
        <v>0</v>
      </c>
      <c r="Y489">
        <f ca="1"/>
        <v>0</v>
      </c>
      <c r="Z489">
        <f ca="1"/>
        <v>0</v>
      </c>
      <c r="AA489">
        <f ca="1"/>
        <v>0</v>
      </c>
      <c r="AB489">
        <f ca="1"/>
        <v>0</v>
      </c>
      <c r="AC489">
        <f ca="1"/>
        <v>0</v>
      </c>
    </row>
    <row r="490" spans="15:29" x14ac:dyDescent="0.25">
      <c r="O490">
        <f ca="1"/>
        <v>0</v>
      </c>
      <c r="P490">
        <f ca="1"/>
        <v>0</v>
      </c>
      <c r="Q490">
        <f ca="1"/>
        <v>0</v>
      </c>
      <c r="R490">
        <f ca="1"/>
        <v>0</v>
      </c>
      <c r="S490">
        <f ca="1"/>
        <v>0</v>
      </c>
      <c r="T490">
        <f ca="1"/>
        <v>0</v>
      </c>
      <c r="U490">
        <f ca="1"/>
        <v>0</v>
      </c>
      <c r="V490">
        <f ca="1"/>
        <v>0</v>
      </c>
      <c r="W490">
        <f ca="1"/>
        <v>0</v>
      </c>
      <c r="X490">
        <f ca="1"/>
        <v>0</v>
      </c>
      <c r="Y490">
        <f ca="1"/>
        <v>0</v>
      </c>
      <c r="Z490">
        <f ca="1"/>
        <v>0</v>
      </c>
      <c r="AA490">
        <f ca="1"/>
        <v>0</v>
      </c>
      <c r="AB490">
        <f ca="1"/>
        <v>0</v>
      </c>
      <c r="AC490">
        <f ca="1"/>
        <v>0</v>
      </c>
    </row>
    <row r="491" spans="15:29" x14ac:dyDescent="0.25">
      <c r="O491">
        <f ca="1"/>
        <v>0</v>
      </c>
      <c r="P491">
        <f ca="1"/>
        <v>0</v>
      </c>
      <c r="Q491">
        <f ca="1"/>
        <v>0</v>
      </c>
      <c r="R491">
        <f ca="1"/>
        <v>0</v>
      </c>
      <c r="S491">
        <f ca="1"/>
        <v>0</v>
      </c>
      <c r="T491">
        <f ca="1"/>
        <v>0</v>
      </c>
      <c r="U491">
        <f ca="1"/>
        <v>0</v>
      </c>
      <c r="V491">
        <f ca="1"/>
        <v>0</v>
      </c>
      <c r="W491">
        <f ca="1"/>
        <v>0</v>
      </c>
      <c r="X491">
        <f ca="1"/>
        <v>0</v>
      </c>
      <c r="Y491">
        <f ca="1"/>
        <v>0</v>
      </c>
      <c r="Z491">
        <f ca="1"/>
        <v>0</v>
      </c>
      <c r="AA491">
        <f ca="1"/>
        <v>0</v>
      </c>
      <c r="AB491">
        <f ca="1"/>
        <v>0</v>
      </c>
      <c r="AC491">
        <f ca="1"/>
        <v>0</v>
      </c>
    </row>
    <row r="492" spans="15:29" x14ac:dyDescent="0.25">
      <c r="O492">
        <f ca="1"/>
        <v>0</v>
      </c>
      <c r="P492">
        <f ca="1"/>
        <v>0</v>
      </c>
      <c r="Q492">
        <f ca="1"/>
        <v>0</v>
      </c>
      <c r="R492">
        <f ca="1"/>
        <v>0</v>
      </c>
      <c r="S492">
        <f ca="1"/>
        <v>0</v>
      </c>
      <c r="T492">
        <f ca="1"/>
        <v>0</v>
      </c>
      <c r="U492">
        <f ca="1"/>
        <v>0</v>
      </c>
      <c r="V492">
        <f ca="1"/>
        <v>0</v>
      </c>
      <c r="W492">
        <f ca="1"/>
        <v>0</v>
      </c>
      <c r="X492">
        <f ca="1"/>
        <v>0</v>
      </c>
      <c r="Y492">
        <f ca="1"/>
        <v>0</v>
      </c>
      <c r="Z492">
        <f ca="1"/>
        <v>0</v>
      </c>
      <c r="AA492">
        <f ca="1"/>
        <v>0</v>
      </c>
      <c r="AB492">
        <f ca="1"/>
        <v>0</v>
      </c>
      <c r="AC492">
        <f ca="1"/>
        <v>0</v>
      </c>
    </row>
    <row r="493" spans="15:29" x14ac:dyDescent="0.25">
      <c r="O493">
        <f ca="1"/>
        <v>0</v>
      </c>
      <c r="P493">
        <f ca="1"/>
        <v>0</v>
      </c>
      <c r="Q493">
        <f ca="1"/>
        <v>0</v>
      </c>
      <c r="R493">
        <f ca="1"/>
        <v>0</v>
      </c>
      <c r="S493">
        <f ca="1"/>
        <v>0</v>
      </c>
      <c r="T493">
        <f ca="1"/>
        <v>0</v>
      </c>
      <c r="U493">
        <f ca="1"/>
        <v>0</v>
      </c>
      <c r="V493">
        <f ca="1"/>
        <v>0</v>
      </c>
      <c r="W493">
        <f ca="1"/>
        <v>0</v>
      </c>
      <c r="X493">
        <f ca="1"/>
        <v>0</v>
      </c>
      <c r="Y493">
        <f ca="1"/>
        <v>0</v>
      </c>
      <c r="Z493">
        <f ca="1"/>
        <v>0</v>
      </c>
      <c r="AA493">
        <f ca="1"/>
        <v>0</v>
      </c>
      <c r="AB493">
        <f ca="1"/>
        <v>0</v>
      </c>
      <c r="AC493">
        <f ca="1"/>
        <v>0</v>
      </c>
    </row>
    <row r="494" spans="15:29" x14ac:dyDescent="0.25">
      <c r="O494">
        <f ca="1"/>
        <v>0</v>
      </c>
      <c r="P494">
        <f ca="1"/>
        <v>0</v>
      </c>
      <c r="Q494">
        <f ca="1"/>
        <v>0</v>
      </c>
      <c r="R494">
        <f ca="1"/>
        <v>0</v>
      </c>
      <c r="S494">
        <f ca="1"/>
        <v>0</v>
      </c>
      <c r="T494">
        <f ca="1"/>
        <v>0</v>
      </c>
      <c r="U494">
        <f ca="1"/>
        <v>0</v>
      </c>
      <c r="V494">
        <f ca="1"/>
        <v>0</v>
      </c>
      <c r="W494">
        <f ca="1"/>
        <v>0</v>
      </c>
      <c r="X494">
        <f ca="1"/>
        <v>0</v>
      </c>
      <c r="Y494">
        <f ca="1"/>
        <v>0</v>
      </c>
      <c r="Z494">
        <f ca="1"/>
        <v>0</v>
      </c>
      <c r="AA494">
        <f ca="1"/>
        <v>0</v>
      </c>
      <c r="AB494">
        <f ca="1"/>
        <v>0</v>
      </c>
      <c r="AC494">
        <f ca="1"/>
        <v>0</v>
      </c>
    </row>
    <row r="495" spans="15:29" x14ac:dyDescent="0.25">
      <c r="O495">
        <f ca="1"/>
        <v>0</v>
      </c>
      <c r="P495">
        <f ca="1"/>
        <v>0</v>
      </c>
      <c r="Q495">
        <f ca="1"/>
        <v>0</v>
      </c>
      <c r="R495">
        <f ca="1"/>
        <v>0</v>
      </c>
      <c r="S495">
        <f ca="1"/>
        <v>0</v>
      </c>
      <c r="T495">
        <f ca="1"/>
        <v>0</v>
      </c>
      <c r="U495">
        <f ca="1"/>
        <v>0</v>
      </c>
      <c r="V495">
        <f ca="1"/>
        <v>0</v>
      </c>
      <c r="W495">
        <f ca="1"/>
        <v>0</v>
      </c>
      <c r="X495">
        <f ca="1"/>
        <v>0</v>
      </c>
      <c r="Y495">
        <f ca="1"/>
        <v>0</v>
      </c>
      <c r="Z495">
        <f ca="1"/>
        <v>0</v>
      </c>
      <c r="AA495">
        <f ca="1"/>
        <v>0</v>
      </c>
      <c r="AB495">
        <f ca="1"/>
        <v>0</v>
      </c>
      <c r="AC495">
        <f ca="1"/>
        <v>0</v>
      </c>
    </row>
    <row r="496" spans="15:29" x14ac:dyDescent="0.25">
      <c r="O496">
        <f ca="1"/>
        <v>0</v>
      </c>
      <c r="P496">
        <f ca="1"/>
        <v>0</v>
      </c>
      <c r="Q496">
        <f ca="1"/>
        <v>0</v>
      </c>
      <c r="R496">
        <f ca="1"/>
        <v>0</v>
      </c>
      <c r="S496">
        <f ca="1"/>
        <v>0</v>
      </c>
      <c r="T496">
        <f ca="1"/>
        <v>0</v>
      </c>
      <c r="U496">
        <f ca="1"/>
        <v>0</v>
      </c>
      <c r="V496">
        <f ca="1"/>
        <v>0</v>
      </c>
      <c r="W496">
        <f ca="1"/>
        <v>0</v>
      </c>
      <c r="X496">
        <f ca="1"/>
        <v>0</v>
      </c>
      <c r="Y496">
        <f ca="1"/>
        <v>0</v>
      </c>
      <c r="Z496">
        <f ca="1"/>
        <v>0</v>
      </c>
      <c r="AA496">
        <f ca="1"/>
        <v>0</v>
      </c>
      <c r="AB496">
        <f ca="1"/>
        <v>0</v>
      </c>
      <c r="AC496">
        <f ca="1"/>
        <v>0</v>
      </c>
    </row>
    <row r="497" spans="15:29" x14ac:dyDescent="0.25">
      <c r="O497">
        <f ca="1"/>
        <v>0</v>
      </c>
      <c r="P497">
        <f ca="1"/>
        <v>0</v>
      </c>
      <c r="Q497">
        <f ca="1"/>
        <v>0</v>
      </c>
      <c r="R497">
        <f ca="1"/>
        <v>0</v>
      </c>
      <c r="S497">
        <f ca="1"/>
        <v>0</v>
      </c>
      <c r="T497">
        <f ca="1"/>
        <v>0</v>
      </c>
      <c r="U497">
        <f ca="1"/>
        <v>0</v>
      </c>
      <c r="V497">
        <f ca="1"/>
        <v>0</v>
      </c>
      <c r="W497">
        <f ca="1"/>
        <v>0</v>
      </c>
      <c r="X497">
        <f ca="1"/>
        <v>0</v>
      </c>
      <c r="Y497">
        <f ca="1"/>
        <v>0</v>
      </c>
      <c r="Z497">
        <f ca="1"/>
        <v>0</v>
      </c>
      <c r="AA497">
        <f ca="1"/>
        <v>0</v>
      </c>
      <c r="AB497">
        <f ca="1"/>
        <v>0</v>
      </c>
      <c r="AC497">
        <f ca="1"/>
        <v>0</v>
      </c>
    </row>
    <row r="498" spans="15:29" x14ac:dyDescent="0.25">
      <c r="O498">
        <f ca="1"/>
        <v>0</v>
      </c>
      <c r="P498">
        <f ca="1"/>
        <v>0</v>
      </c>
      <c r="Q498">
        <f ca="1"/>
        <v>0</v>
      </c>
      <c r="R498">
        <f ca="1"/>
        <v>0</v>
      </c>
      <c r="S498">
        <f ca="1"/>
        <v>0</v>
      </c>
      <c r="T498">
        <f ca="1"/>
        <v>0</v>
      </c>
      <c r="U498">
        <f ca="1"/>
        <v>0</v>
      </c>
      <c r="V498">
        <f ca="1"/>
        <v>0</v>
      </c>
      <c r="W498">
        <f ca="1"/>
        <v>0</v>
      </c>
      <c r="X498">
        <f ca="1"/>
        <v>0</v>
      </c>
      <c r="Y498">
        <f ca="1"/>
        <v>0</v>
      </c>
      <c r="Z498">
        <f ca="1"/>
        <v>0</v>
      </c>
      <c r="AA498">
        <f ca="1"/>
        <v>0</v>
      </c>
      <c r="AB498">
        <f ca="1"/>
        <v>0</v>
      </c>
      <c r="AC498">
        <f ca="1"/>
        <v>0</v>
      </c>
    </row>
    <row r="499" spans="15:29" x14ac:dyDescent="0.25">
      <c r="O499">
        <f ca="1"/>
        <v>0</v>
      </c>
      <c r="P499">
        <f ca="1"/>
        <v>0</v>
      </c>
      <c r="Q499">
        <f ca="1"/>
        <v>0</v>
      </c>
      <c r="R499">
        <f ca="1"/>
        <v>0</v>
      </c>
      <c r="S499">
        <f ca="1"/>
        <v>0</v>
      </c>
      <c r="T499">
        <f ca="1"/>
        <v>0</v>
      </c>
      <c r="U499">
        <f ca="1"/>
        <v>0</v>
      </c>
      <c r="V499">
        <f ca="1"/>
        <v>0</v>
      </c>
      <c r="W499">
        <f ca="1"/>
        <v>0</v>
      </c>
      <c r="X499">
        <f ca="1"/>
        <v>0</v>
      </c>
      <c r="Y499">
        <f ca="1"/>
        <v>0</v>
      </c>
      <c r="Z499">
        <f ca="1"/>
        <v>0</v>
      </c>
      <c r="AA499">
        <f ca="1"/>
        <v>0</v>
      </c>
      <c r="AB499">
        <f ca="1"/>
        <v>0</v>
      </c>
      <c r="AC499">
        <f ca="1"/>
        <v>0</v>
      </c>
    </row>
    <row r="500" spans="15:29" x14ac:dyDescent="0.25">
      <c r="O500">
        <f ca="1"/>
        <v>0</v>
      </c>
      <c r="P500">
        <f ca="1"/>
        <v>0</v>
      </c>
      <c r="Q500">
        <f ca="1"/>
        <v>0</v>
      </c>
      <c r="R500">
        <f ca="1"/>
        <v>0</v>
      </c>
      <c r="S500">
        <f ca="1"/>
        <v>0</v>
      </c>
      <c r="T500">
        <f ca="1"/>
        <v>0</v>
      </c>
      <c r="U500">
        <f ca="1"/>
        <v>0</v>
      </c>
      <c r="V500">
        <f ca="1"/>
        <v>0</v>
      </c>
      <c r="W500">
        <f ca="1"/>
        <v>0</v>
      </c>
      <c r="X500">
        <f ca="1"/>
        <v>0</v>
      </c>
      <c r="Y500">
        <f ca="1"/>
        <v>0</v>
      </c>
      <c r="Z500">
        <f ca="1"/>
        <v>0</v>
      </c>
      <c r="AA500">
        <f ca="1"/>
        <v>0</v>
      </c>
      <c r="AB500">
        <f ca="1"/>
        <v>0</v>
      </c>
      <c r="AC500">
        <f ca="1"/>
        <v>0</v>
      </c>
    </row>
    <row r="501" spans="15:29" x14ac:dyDescent="0.25">
      <c r="O501">
        <f ca="1"/>
        <v>0</v>
      </c>
      <c r="P501">
        <f ca="1"/>
        <v>0</v>
      </c>
      <c r="Q501">
        <f ca="1"/>
        <v>0</v>
      </c>
      <c r="R501">
        <f ca="1"/>
        <v>0</v>
      </c>
      <c r="S501">
        <f ca="1"/>
        <v>0</v>
      </c>
      <c r="T501">
        <f ca="1"/>
        <v>0</v>
      </c>
      <c r="U501">
        <f ca="1"/>
        <v>0</v>
      </c>
      <c r="V501">
        <f ca="1"/>
        <v>0</v>
      </c>
      <c r="W501">
        <f ca="1"/>
        <v>0</v>
      </c>
      <c r="X501">
        <f ca="1"/>
        <v>0</v>
      </c>
      <c r="Y501">
        <f ca="1"/>
        <v>0</v>
      </c>
      <c r="Z501">
        <f ca="1"/>
        <v>0</v>
      </c>
      <c r="AA501">
        <f ca="1"/>
        <v>0</v>
      </c>
      <c r="AB501">
        <f ca="1"/>
        <v>0</v>
      </c>
      <c r="AC501">
        <f ca="1"/>
        <v>0</v>
      </c>
    </row>
    <row r="502" spans="15:29" x14ac:dyDescent="0.25">
      <c r="O502">
        <f ca="1"/>
        <v>0</v>
      </c>
      <c r="P502">
        <f ca="1"/>
        <v>0</v>
      </c>
      <c r="Q502">
        <f ca="1"/>
        <v>0</v>
      </c>
      <c r="R502">
        <f ca="1"/>
        <v>0</v>
      </c>
      <c r="S502">
        <f ca="1"/>
        <v>0</v>
      </c>
      <c r="T502">
        <f ca="1"/>
        <v>0</v>
      </c>
      <c r="U502">
        <f ca="1"/>
        <v>0</v>
      </c>
      <c r="V502">
        <f ca="1"/>
        <v>0</v>
      </c>
      <c r="W502">
        <f ca="1"/>
        <v>0</v>
      </c>
      <c r="X502">
        <f ca="1"/>
        <v>0</v>
      </c>
      <c r="Y502">
        <f ca="1"/>
        <v>0</v>
      </c>
      <c r="Z502">
        <f ca="1"/>
        <v>0</v>
      </c>
      <c r="AA502">
        <f ca="1"/>
        <v>0</v>
      </c>
      <c r="AB502">
        <f ca="1"/>
        <v>0</v>
      </c>
      <c r="AC502">
        <f ca="1"/>
        <v>0</v>
      </c>
    </row>
    <row r="503" spans="15:29" x14ac:dyDescent="0.25">
      <c r="O503">
        <f ca="1"/>
        <v>0</v>
      </c>
      <c r="P503">
        <f ca="1"/>
        <v>0</v>
      </c>
      <c r="Q503">
        <f ca="1"/>
        <v>0</v>
      </c>
      <c r="R503">
        <f ca="1"/>
        <v>0</v>
      </c>
      <c r="S503">
        <f ca="1"/>
        <v>0</v>
      </c>
      <c r="T503">
        <f ca="1"/>
        <v>0</v>
      </c>
      <c r="U503">
        <f ca="1"/>
        <v>0</v>
      </c>
      <c r="V503">
        <f ca="1"/>
        <v>0</v>
      </c>
      <c r="W503">
        <f ca="1"/>
        <v>0</v>
      </c>
      <c r="X503">
        <f ca="1"/>
        <v>0</v>
      </c>
      <c r="Y503">
        <f ca="1"/>
        <v>0</v>
      </c>
      <c r="Z503">
        <f ca="1"/>
        <v>0</v>
      </c>
      <c r="AA503">
        <f ca="1"/>
        <v>0</v>
      </c>
      <c r="AB503">
        <f ca="1"/>
        <v>0</v>
      </c>
      <c r="AC503">
        <f ca="1"/>
        <v>0</v>
      </c>
    </row>
    <row r="504" spans="15:29" x14ac:dyDescent="0.25">
      <c r="O504">
        <f ca="1"/>
        <v>0</v>
      </c>
      <c r="P504">
        <f ca="1"/>
        <v>0</v>
      </c>
      <c r="Q504">
        <f ca="1"/>
        <v>0</v>
      </c>
      <c r="R504">
        <f ca="1"/>
        <v>0</v>
      </c>
      <c r="S504">
        <f ca="1"/>
        <v>0</v>
      </c>
      <c r="T504">
        <f ca="1"/>
        <v>0</v>
      </c>
      <c r="U504">
        <f ca="1"/>
        <v>0</v>
      </c>
      <c r="V504">
        <f ca="1"/>
        <v>0</v>
      </c>
      <c r="W504">
        <f ca="1"/>
        <v>0</v>
      </c>
      <c r="X504">
        <f ca="1"/>
        <v>0</v>
      </c>
      <c r="Y504">
        <f ca="1"/>
        <v>0</v>
      </c>
      <c r="Z504">
        <f ca="1"/>
        <v>0</v>
      </c>
      <c r="AA504">
        <f ca="1"/>
        <v>0</v>
      </c>
      <c r="AB504">
        <f ca="1"/>
        <v>0</v>
      </c>
      <c r="AC504">
        <f ca="1"/>
        <v>0</v>
      </c>
    </row>
    <row r="505" spans="15:29" x14ac:dyDescent="0.25">
      <c r="O505">
        <f ca="1"/>
        <v>0</v>
      </c>
      <c r="P505">
        <f ca="1"/>
        <v>0</v>
      </c>
      <c r="Q505">
        <f ca="1"/>
        <v>0</v>
      </c>
      <c r="R505">
        <f ca="1"/>
        <v>0</v>
      </c>
      <c r="S505">
        <f ca="1"/>
        <v>0</v>
      </c>
      <c r="T505">
        <f ca="1"/>
        <v>0</v>
      </c>
      <c r="U505">
        <f ca="1"/>
        <v>0</v>
      </c>
      <c r="V505">
        <f ca="1"/>
        <v>0</v>
      </c>
      <c r="W505">
        <f ca="1"/>
        <v>0</v>
      </c>
      <c r="X505">
        <f ca="1"/>
        <v>0</v>
      </c>
      <c r="Y505">
        <f ca="1"/>
        <v>0</v>
      </c>
      <c r="Z505">
        <f ca="1"/>
        <v>0</v>
      </c>
      <c r="AA505">
        <f ca="1"/>
        <v>0</v>
      </c>
      <c r="AB505">
        <f ca="1"/>
        <v>0</v>
      </c>
      <c r="AC505">
        <f ca="1"/>
        <v>0</v>
      </c>
    </row>
    <row r="506" spans="15:29" x14ac:dyDescent="0.25">
      <c r="O506">
        <f ca="1"/>
        <v>0</v>
      </c>
      <c r="P506">
        <f ca="1"/>
        <v>0</v>
      </c>
      <c r="Q506">
        <f ca="1"/>
        <v>0</v>
      </c>
      <c r="R506">
        <f ca="1"/>
        <v>0</v>
      </c>
      <c r="S506">
        <f ca="1"/>
        <v>0</v>
      </c>
      <c r="T506">
        <f ca="1"/>
        <v>0</v>
      </c>
      <c r="U506">
        <f ca="1"/>
        <v>0</v>
      </c>
      <c r="V506">
        <f ca="1"/>
        <v>0</v>
      </c>
      <c r="W506">
        <f ca="1"/>
        <v>0</v>
      </c>
      <c r="X506">
        <f ca="1"/>
        <v>0</v>
      </c>
      <c r="Y506">
        <f ca="1"/>
        <v>0</v>
      </c>
      <c r="Z506">
        <f ca="1"/>
        <v>0</v>
      </c>
      <c r="AA506">
        <f ca="1"/>
        <v>0</v>
      </c>
      <c r="AB506">
        <f ca="1"/>
        <v>0</v>
      </c>
      <c r="AC506">
        <f ca="1"/>
        <v>0</v>
      </c>
    </row>
    <row r="507" spans="15:29" x14ac:dyDescent="0.25">
      <c r="O507">
        <f ca="1"/>
        <v>0</v>
      </c>
      <c r="P507">
        <f ca="1"/>
        <v>0</v>
      </c>
      <c r="Q507">
        <f ca="1"/>
        <v>0</v>
      </c>
      <c r="R507">
        <f ca="1"/>
        <v>0</v>
      </c>
      <c r="S507">
        <f ca="1"/>
        <v>0</v>
      </c>
      <c r="T507">
        <f ca="1"/>
        <v>0</v>
      </c>
      <c r="U507">
        <f ca="1"/>
        <v>0</v>
      </c>
      <c r="V507">
        <f ca="1"/>
        <v>0</v>
      </c>
      <c r="W507">
        <f ca="1"/>
        <v>0</v>
      </c>
      <c r="X507">
        <f ca="1"/>
        <v>0</v>
      </c>
      <c r="Y507">
        <f ca="1"/>
        <v>0</v>
      </c>
      <c r="Z507">
        <f ca="1"/>
        <v>0</v>
      </c>
      <c r="AA507">
        <f ca="1"/>
        <v>0</v>
      </c>
      <c r="AB507">
        <f ca="1"/>
        <v>0</v>
      </c>
      <c r="AC507">
        <f ca="1"/>
        <v>0</v>
      </c>
    </row>
    <row r="508" spans="15:29" x14ac:dyDescent="0.25">
      <c r="O508">
        <f ca="1"/>
        <v>0</v>
      </c>
      <c r="P508">
        <f ca="1"/>
        <v>0</v>
      </c>
      <c r="Q508">
        <f ca="1"/>
        <v>0</v>
      </c>
      <c r="R508">
        <f ca="1"/>
        <v>0</v>
      </c>
      <c r="S508">
        <f ca="1"/>
        <v>0</v>
      </c>
      <c r="T508">
        <f ca="1"/>
        <v>0</v>
      </c>
      <c r="U508">
        <f ca="1"/>
        <v>0</v>
      </c>
      <c r="V508">
        <f ca="1"/>
        <v>0</v>
      </c>
      <c r="W508">
        <f ca="1"/>
        <v>0</v>
      </c>
      <c r="X508">
        <f ca="1"/>
        <v>0</v>
      </c>
      <c r="Y508">
        <f ca="1"/>
        <v>0</v>
      </c>
      <c r="Z508">
        <f ca="1"/>
        <v>0</v>
      </c>
      <c r="AA508">
        <f ca="1"/>
        <v>0</v>
      </c>
      <c r="AB508">
        <f ca="1"/>
        <v>0</v>
      </c>
      <c r="AC508">
        <f ca="1"/>
        <v>0</v>
      </c>
    </row>
    <row r="509" spans="15:29" x14ac:dyDescent="0.25">
      <c r="O509">
        <f ca="1"/>
        <v>0</v>
      </c>
      <c r="P509">
        <f ca="1"/>
        <v>0</v>
      </c>
      <c r="Q509">
        <f ca="1"/>
        <v>0</v>
      </c>
      <c r="R509">
        <f ca="1"/>
        <v>0</v>
      </c>
      <c r="S509">
        <f ca="1"/>
        <v>0</v>
      </c>
      <c r="T509">
        <f ca="1"/>
        <v>0</v>
      </c>
      <c r="U509">
        <f ca="1"/>
        <v>0</v>
      </c>
      <c r="V509">
        <f ca="1"/>
        <v>0</v>
      </c>
      <c r="W509">
        <f ca="1"/>
        <v>0</v>
      </c>
      <c r="X509">
        <f ca="1"/>
        <v>0</v>
      </c>
      <c r="Y509">
        <f ca="1"/>
        <v>0</v>
      </c>
      <c r="Z509">
        <f ca="1"/>
        <v>0</v>
      </c>
      <c r="AA509">
        <f ca="1"/>
        <v>0</v>
      </c>
      <c r="AB509">
        <f ca="1"/>
        <v>0</v>
      </c>
      <c r="AC509">
        <f ca="1"/>
        <v>0</v>
      </c>
    </row>
    <row r="510" spans="15:29" x14ac:dyDescent="0.25">
      <c r="O510">
        <f ca="1"/>
        <v>0</v>
      </c>
      <c r="P510">
        <f ca="1"/>
        <v>0</v>
      </c>
      <c r="Q510">
        <f ca="1"/>
        <v>0</v>
      </c>
      <c r="R510">
        <f ca="1"/>
        <v>0</v>
      </c>
      <c r="S510">
        <f ca="1"/>
        <v>0</v>
      </c>
      <c r="T510">
        <f ca="1"/>
        <v>0</v>
      </c>
      <c r="U510">
        <f ca="1"/>
        <v>0</v>
      </c>
      <c r="V510">
        <f ca="1"/>
        <v>0</v>
      </c>
      <c r="W510">
        <f ca="1"/>
        <v>0</v>
      </c>
      <c r="X510">
        <f ca="1"/>
        <v>0</v>
      </c>
      <c r="Y510">
        <f ca="1"/>
        <v>0</v>
      </c>
      <c r="Z510">
        <f ca="1"/>
        <v>0</v>
      </c>
      <c r="AA510">
        <f ca="1"/>
        <v>0</v>
      </c>
      <c r="AB510">
        <f ca="1"/>
        <v>0</v>
      </c>
      <c r="AC510">
        <f ca="1"/>
        <v>0</v>
      </c>
    </row>
    <row r="511" spans="15:29" x14ac:dyDescent="0.25">
      <c r="O511">
        <f ca="1"/>
        <v>0</v>
      </c>
      <c r="P511">
        <f ca="1"/>
        <v>0</v>
      </c>
      <c r="Q511">
        <f ca="1"/>
        <v>0</v>
      </c>
      <c r="R511">
        <f ca="1"/>
        <v>0</v>
      </c>
      <c r="S511">
        <f ca="1"/>
        <v>0</v>
      </c>
      <c r="T511">
        <f ca="1"/>
        <v>0</v>
      </c>
      <c r="U511">
        <f ca="1"/>
        <v>0</v>
      </c>
      <c r="V511">
        <f ca="1"/>
        <v>0</v>
      </c>
      <c r="W511">
        <f ca="1"/>
        <v>0</v>
      </c>
      <c r="X511">
        <f ca="1"/>
        <v>0</v>
      </c>
      <c r="Y511">
        <f ca="1"/>
        <v>0</v>
      </c>
      <c r="Z511">
        <f ca="1"/>
        <v>0</v>
      </c>
      <c r="AA511">
        <f ca="1"/>
        <v>0</v>
      </c>
      <c r="AB511">
        <f ca="1"/>
        <v>0</v>
      </c>
      <c r="AC511">
        <f ca="1"/>
        <v>0</v>
      </c>
    </row>
    <row r="512" spans="15:29" x14ac:dyDescent="0.25">
      <c r="O512">
        <f ca="1"/>
        <v>0</v>
      </c>
      <c r="P512">
        <f ca="1"/>
        <v>0</v>
      </c>
      <c r="Q512">
        <f ca="1"/>
        <v>0</v>
      </c>
      <c r="R512">
        <f ca="1"/>
        <v>0</v>
      </c>
      <c r="S512">
        <f ca="1"/>
        <v>0</v>
      </c>
      <c r="T512">
        <f ca="1"/>
        <v>0</v>
      </c>
      <c r="U512">
        <f ca="1"/>
        <v>0</v>
      </c>
      <c r="V512">
        <f ca="1"/>
        <v>0</v>
      </c>
      <c r="W512">
        <f ca="1"/>
        <v>0</v>
      </c>
      <c r="X512">
        <f ca="1"/>
        <v>0</v>
      </c>
      <c r="Y512">
        <f ca="1"/>
        <v>0</v>
      </c>
      <c r="Z512">
        <f ca="1"/>
        <v>0</v>
      </c>
      <c r="AA512">
        <f ca="1"/>
        <v>0</v>
      </c>
      <c r="AB512">
        <f ca="1"/>
        <v>0</v>
      </c>
      <c r="AC512">
        <f ca="1"/>
        <v>0</v>
      </c>
    </row>
    <row r="513" spans="15:29" x14ac:dyDescent="0.25">
      <c r="O513">
        <f ca="1"/>
        <v>0</v>
      </c>
      <c r="P513">
        <f ca="1"/>
        <v>0</v>
      </c>
      <c r="Q513">
        <f ca="1"/>
        <v>0</v>
      </c>
      <c r="R513">
        <f ca="1"/>
        <v>0</v>
      </c>
      <c r="S513">
        <f ca="1"/>
        <v>0</v>
      </c>
      <c r="T513">
        <f ca="1"/>
        <v>0</v>
      </c>
      <c r="U513">
        <f ca="1"/>
        <v>0</v>
      </c>
      <c r="V513">
        <f ca="1"/>
        <v>0</v>
      </c>
      <c r="W513">
        <f ca="1"/>
        <v>0</v>
      </c>
      <c r="X513">
        <f ca="1"/>
        <v>0</v>
      </c>
      <c r="Y513">
        <f ca="1"/>
        <v>0</v>
      </c>
      <c r="Z513">
        <f ca="1"/>
        <v>0</v>
      </c>
      <c r="AA513">
        <f ca="1"/>
        <v>0</v>
      </c>
      <c r="AB513">
        <f ca="1"/>
        <v>0</v>
      </c>
      <c r="AC513">
        <f ca="1"/>
        <v>0</v>
      </c>
    </row>
    <row r="514" spans="15:29" x14ac:dyDescent="0.25">
      <c r="O514">
        <f ca="1"/>
        <v>0</v>
      </c>
      <c r="P514">
        <f ca="1"/>
        <v>0</v>
      </c>
      <c r="Q514">
        <f ca="1"/>
        <v>0</v>
      </c>
      <c r="R514">
        <f ca="1"/>
        <v>0</v>
      </c>
      <c r="S514">
        <f ca="1"/>
        <v>0</v>
      </c>
      <c r="T514">
        <f ca="1"/>
        <v>0</v>
      </c>
      <c r="U514">
        <f ca="1"/>
        <v>0</v>
      </c>
      <c r="V514">
        <f ca="1"/>
        <v>0</v>
      </c>
      <c r="W514">
        <f ca="1"/>
        <v>0</v>
      </c>
      <c r="X514">
        <f ca="1"/>
        <v>0</v>
      </c>
      <c r="Y514">
        <f ca="1"/>
        <v>0</v>
      </c>
      <c r="Z514">
        <f ca="1"/>
        <v>0</v>
      </c>
      <c r="AA514">
        <f ca="1"/>
        <v>0</v>
      </c>
      <c r="AB514">
        <f ca="1"/>
        <v>0</v>
      </c>
      <c r="AC514">
        <f ca="1"/>
        <v>0</v>
      </c>
    </row>
    <row r="515" spans="15:29" x14ac:dyDescent="0.25">
      <c r="O515">
        <f ca="1"/>
        <v>0</v>
      </c>
      <c r="P515">
        <f ca="1"/>
        <v>0</v>
      </c>
      <c r="Q515">
        <f ca="1"/>
        <v>0</v>
      </c>
      <c r="R515">
        <f ca="1"/>
        <v>0</v>
      </c>
      <c r="S515">
        <f ca="1"/>
        <v>0</v>
      </c>
      <c r="T515">
        <f ca="1"/>
        <v>0</v>
      </c>
      <c r="U515">
        <f ca="1"/>
        <v>0</v>
      </c>
      <c r="V515">
        <f ca="1"/>
        <v>0</v>
      </c>
      <c r="W515">
        <f ca="1"/>
        <v>0</v>
      </c>
      <c r="X515">
        <f ca="1"/>
        <v>0</v>
      </c>
      <c r="Y515">
        <f ca="1"/>
        <v>0</v>
      </c>
      <c r="Z515">
        <f ca="1"/>
        <v>0</v>
      </c>
      <c r="AA515">
        <f ca="1"/>
        <v>0</v>
      </c>
      <c r="AB515">
        <f ca="1"/>
        <v>0</v>
      </c>
      <c r="AC515">
        <f ca="1"/>
        <v>0</v>
      </c>
    </row>
    <row r="516" spans="15:29" x14ac:dyDescent="0.25">
      <c r="O516">
        <f ca="1"/>
        <v>0</v>
      </c>
      <c r="P516">
        <f ca="1"/>
        <v>0</v>
      </c>
      <c r="Q516">
        <f ca="1"/>
        <v>0</v>
      </c>
      <c r="R516">
        <f ca="1"/>
        <v>0</v>
      </c>
      <c r="S516">
        <f ca="1"/>
        <v>0</v>
      </c>
      <c r="T516">
        <f ca="1"/>
        <v>0</v>
      </c>
      <c r="U516">
        <f ca="1"/>
        <v>0</v>
      </c>
      <c r="V516">
        <f ca="1"/>
        <v>0</v>
      </c>
      <c r="W516">
        <f ca="1"/>
        <v>0</v>
      </c>
      <c r="X516">
        <f ca="1"/>
        <v>0</v>
      </c>
      <c r="Y516">
        <f ca="1"/>
        <v>0</v>
      </c>
      <c r="Z516">
        <f ca="1"/>
        <v>0</v>
      </c>
      <c r="AA516">
        <f ca="1"/>
        <v>0</v>
      </c>
      <c r="AB516">
        <f ca="1"/>
        <v>0</v>
      </c>
      <c r="AC516">
        <f ca="1"/>
        <v>0</v>
      </c>
    </row>
    <row r="517" spans="15:29" x14ac:dyDescent="0.25">
      <c r="O517">
        <f ca="1"/>
        <v>0</v>
      </c>
      <c r="P517">
        <f ca="1"/>
        <v>0</v>
      </c>
      <c r="Q517">
        <f ca="1"/>
        <v>0</v>
      </c>
      <c r="R517">
        <f ca="1"/>
        <v>0</v>
      </c>
      <c r="S517">
        <f ca="1"/>
        <v>0</v>
      </c>
      <c r="T517">
        <f ca="1"/>
        <v>0</v>
      </c>
      <c r="U517">
        <f ca="1"/>
        <v>0</v>
      </c>
      <c r="V517">
        <f ca="1"/>
        <v>0</v>
      </c>
      <c r="W517">
        <f ca="1"/>
        <v>0</v>
      </c>
      <c r="X517">
        <f ca="1"/>
        <v>0</v>
      </c>
      <c r="Y517">
        <f ca="1"/>
        <v>0</v>
      </c>
      <c r="Z517">
        <f ca="1"/>
        <v>0</v>
      </c>
      <c r="AA517">
        <f ca="1"/>
        <v>0</v>
      </c>
      <c r="AB517">
        <f ca="1"/>
        <v>0</v>
      </c>
      <c r="AC517">
        <f ca="1"/>
        <v>0</v>
      </c>
    </row>
    <row r="518" spans="15:29" x14ac:dyDescent="0.25">
      <c r="O518">
        <f ca="1"/>
        <v>0</v>
      </c>
      <c r="P518">
        <f ca="1"/>
        <v>0</v>
      </c>
      <c r="Q518">
        <f ca="1"/>
        <v>0</v>
      </c>
      <c r="R518">
        <f ca="1"/>
        <v>0</v>
      </c>
      <c r="S518">
        <f ca="1"/>
        <v>0</v>
      </c>
      <c r="T518">
        <f ca="1"/>
        <v>0</v>
      </c>
      <c r="U518">
        <f ca="1"/>
        <v>0</v>
      </c>
      <c r="V518">
        <f ca="1"/>
        <v>0</v>
      </c>
      <c r="W518">
        <f ca="1"/>
        <v>0</v>
      </c>
      <c r="X518">
        <f ca="1"/>
        <v>0</v>
      </c>
      <c r="Y518">
        <f ca="1"/>
        <v>0</v>
      </c>
      <c r="Z518">
        <f ca="1"/>
        <v>0</v>
      </c>
      <c r="AA518">
        <f ca="1"/>
        <v>0</v>
      </c>
      <c r="AB518">
        <f ca="1"/>
        <v>0</v>
      </c>
      <c r="AC518">
        <f ca="1"/>
        <v>0</v>
      </c>
    </row>
    <row r="519" spans="15:29" x14ac:dyDescent="0.25">
      <c r="O519">
        <f ca="1"/>
        <v>0</v>
      </c>
      <c r="P519">
        <f ca="1"/>
        <v>0</v>
      </c>
      <c r="Q519">
        <f ca="1"/>
        <v>0</v>
      </c>
      <c r="R519">
        <f ca="1"/>
        <v>0</v>
      </c>
      <c r="S519">
        <f ca="1"/>
        <v>0</v>
      </c>
      <c r="T519">
        <f ca="1"/>
        <v>0</v>
      </c>
      <c r="U519">
        <f ca="1"/>
        <v>0</v>
      </c>
      <c r="V519">
        <f ca="1"/>
        <v>0</v>
      </c>
      <c r="W519">
        <f ca="1"/>
        <v>0</v>
      </c>
      <c r="X519">
        <f ca="1"/>
        <v>0</v>
      </c>
      <c r="Y519">
        <f ca="1"/>
        <v>0</v>
      </c>
      <c r="Z519">
        <f ca="1"/>
        <v>0</v>
      </c>
      <c r="AA519">
        <f ca="1"/>
        <v>0</v>
      </c>
      <c r="AB519">
        <f ca="1"/>
        <v>0</v>
      </c>
      <c r="AC519">
        <f ca="1"/>
        <v>0</v>
      </c>
    </row>
    <row r="520" spans="15:29" x14ac:dyDescent="0.25">
      <c r="O520">
        <f ca="1"/>
        <v>0</v>
      </c>
      <c r="P520">
        <f ca="1"/>
        <v>0</v>
      </c>
      <c r="Q520">
        <f ca="1"/>
        <v>0</v>
      </c>
      <c r="R520">
        <f ca="1"/>
        <v>0</v>
      </c>
      <c r="S520">
        <f ca="1"/>
        <v>0</v>
      </c>
      <c r="T520">
        <f ca="1"/>
        <v>0</v>
      </c>
      <c r="U520">
        <f ca="1"/>
        <v>0</v>
      </c>
      <c r="V520">
        <f ca="1"/>
        <v>0</v>
      </c>
      <c r="W520">
        <f ca="1"/>
        <v>0</v>
      </c>
      <c r="X520">
        <f ca="1"/>
        <v>0</v>
      </c>
      <c r="Y520">
        <f ca="1"/>
        <v>0</v>
      </c>
      <c r="Z520">
        <f ca="1"/>
        <v>0</v>
      </c>
      <c r="AA520">
        <f ca="1"/>
        <v>0</v>
      </c>
      <c r="AB520">
        <f ca="1"/>
        <v>0</v>
      </c>
      <c r="AC520">
        <f ca="1"/>
        <v>0</v>
      </c>
    </row>
    <row r="521" spans="15:29" x14ac:dyDescent="0.25">
      <c r="O521">
        <f ca="1"/>
        <v>0</v>
      </c>
      <c r="P521">
        <f ca="1"/>
        <v>0</v>
      </c>
      <c r="Q521">
        <f ca="1"/>
        <v>0</v>
      </c>
      <c r="R521">
        <f ca="1"/>
        <v>0</v>
      </c>
      <c r="S521">
        <f ca="1"/>
        <v>0</v>
      </c>
      <c r="T521">
        <f ca="1"/>
        <v>0</v>
      </c>
      <c r="U521">
        <f ca="1"/>
        <v>0</v>
      </c>
      <c r="V521">
        <f ca="1"/>
        <v>0</v>
      </c>
      <c r="W521">
        <f ca="1"/>
        <v>0</v>
      </c>
      <c r="X521">
        <f ca="1"/>
        <v>0</v>
      </c>
      <c r="Y521">
        <f ca="1"/>
        <v>0</v>
      </c>
      <c r="Z521">
        <f ca="1"/>
        <v>0</v>
      </c>
      <c r="AA521">
        <f ca="1"/>
        <v>0</v>
      </c>
      <c r="AB521">
        <f ca="1"/>
        <v>0</v>
      </c>
      <c r="AC521">
        <f ca="1"/>
        <v>0</v>
      </c>
    </row>
    <row r="522" spans="15:29" x14ac:dyDescent="0.25">
      <c r="O522">
        <f ca="1"/>
        <v>0</v>
      </c>
      <c r="P522">
        <f ca="1"/>
        <v>0</v>
      </c>
      <c r="Q522">
        <f ca="1"/>
        <v>0</v>
      </c>
      <c r="R522">
        <f ca="1"/>
        <v>0</v>
      </c>
      <c r="S522">
        <f ca="1"/>
        <v>0</v>
      </c>
      <c r="T522">
        <f ca="1"/>
        <v>0</v>
      </c>
      <c r="U522">
        <f ca="1"/>
        <v>0</v>
      </c>
      <c r="V522">
        <f ca="1"/>
        <v>0</v>
      </c>
      <c r="W522">
        <f ca="1"/>
        <v>0</v>
      </c>
      <c r="X522">
        <f ca="1"/>
        <v>0</v>
      </c>
      <c r="Y522">
        <f ca="1"/>
        <v>0</v>
      </c>
      <c r="Z522">
        <f ca="1"/>
        <v>0</v>
      </c>
      <c r="AA522">
        <f ca="1"/>
        <v>0</v>
      </c>
      <c r="AB522">
        <f ca="1"/>
        <v>0</v>
      </c>
      <c r="AC522">
        <f ca="1"/>
        <v>0</v>
      </c>
    </row>
    <row r="523" spans="15:29" x14ac:dyDescent="0.25">
      <c r="O523">
        <f ca="1"/>
        <v>0</v>
      </c>
      <c r="P523">
        <f ca="1"/>
        <v>0</v>
      </c>
      <c r="Q523">
        <f ca="1"/>
        <v>0</v>
      </c>
      <c r="R523">
        <f ca="1"/>
        <v>0</v>
      </c>
      <c r="S523">
        <f ca="1"/>
        <v>0</v>
      </c>
      <c r="T523">
        <f ca="1"/>
        <v>0</v>
      </c>
      <c r="U523">
        <f ca="1"/>
        <v>0</v>
      </c>
      <c r="V523">
        <f ca="1"/>
        <v>0</v>
      </c>
      <c r="W523">
        <f ca="1"/>
        <v>0</v>
      </c>
      <c r="X523">
        <f ca="1"/>
        <v>0</v>
      </c>
      <c r="Y523">
        <f ca="1"/>
        <v>0</v>
      </c>
      <c r="Z523">
        <f ca="1"/>
        <v>0</v>
      </c>
      <c r="AA523">
        <f ca="1"/>
        <v>0</v>
      </c>
      <c r="AB523">
        <f ca="1"/>
        <v>0</v>
      </c>
      <c r="AC523">
        <f ca="1"/>
        <v>0</v>
      </c>
    </row>
    <row r="524" spans="15:29" x14ac:dyDescent="0.25">
      <c r="O524">
        <f ca="1"/>
        <v>0</v>
      </c>
      <c r="P524">
        <f ca="1"/>
        <v>0</v>
      </c>
      <c r="Q524">
        <f ca="1"/>
        <v>0</v>
      </c>
      <c r="R524">
        <f ca="1"/>
        <v>0</v>
      </c>
      <c r="S524">
        <f ca="1"/>
        <v>0</v>
      </c>
      <c r="T524">
        <f ca="1"/>
        <v>0</v>
      </c>
      <c r="U524">
        <f ca="1"/>
        <v>0</v>
      </c>
      <c r="V524">
        <f ca="1"/>
        <v>0</v>
      </c>
      <c r="W524">
        <f ca="1"/>
        <v>0</v>
      </c>
      <c r="X524">
        <f ca="1"/>
        <v>0</v>
      </c>
      <c r="Y524">
        <f ca="1"/>
        <v>0</v>
      </c>
      <c r="Z524">
        <f ca="1"/>
        <v>0</v>
      </c>
      <c r="AA524">
        <f ca="1"/>
        <v>0</v>
      </c>
      <c r="AB524">
        <f ca="1"/>
        <v>0</v>
      </c>
      <c r="AC524">
        <f ca="1"/>
        <v>0</v>
      </c>
    </row>
    <row r="525" spans="15:29" x14ac:dyDescent="0.25">
      <c r="O525">
        <f ca="1"/>
        <v>0</v>
      </c>
      <c r="P525">
        <f ca="1"/>
        <v>0</v>
      </c>
      <c r="Q525">
        <f ca="1"/>
        <v>0</v>
      </c>
      <c r="R525">
        <f ca="1"/>
        <v>0</v>
      </c>
      <c r="S525">
        <f ca="1"/>
        <v>0</v>
      </c>
      <c r="T525">
        <f ca="1"/>
        <v>0</v>
      </c>
      <c r="U525">
        <f ca="1"/>
        <v>0</v>
      </c>
      <c r="V525">
        <f ca="1"/>
        <v>0</v>
      </c>
      <c r="W525">
        <f ca="1"/>
        <v>0</v>
      </c>
      <c r="X525">
        <f ca="1"/>
        <v>0</v>
      </c>
      <c r="Y525">
        <f ca="1"/>
        <v>0</v>
      </c>
      <c r="Z525">
        <f ca="1"/>
        <v>0</v>
      </c>
      <c r="AA525">
        <f ca="1"/>
        <v>0</v>
      </c>
      <c r="AB525">
        <f ca="1"/>
        <v>0</v>
      </c>
      <c r="AC525">
        <f ca="1"/>
        <v>0</v>
      </c>
    </row>
    <row r="526" spans="15:29" x14ac:dyDescent="0.25">
      <c r="O526">
        <f ca="1"/>
        <v>0</v>
      </c>
      <c r="P526">
        <f ca="1"/>
        <v>0</v>
      </c>
      <c r="Q526">
        <f ca="1"/>
        <v>0</v>
      </c>
      <c r="R526">
        <f ca="1"/>
        <v>0</v>
      </c>
      <c r="S526">
        <f ca="1"/>
        <v>0</v>
      </c>
      <c r="T526">
        <f ca="1"/>
        <v>0</v>
      </c>
      <c r="U526">
        <f ca="1"/>
        <v>0</v>
      </c>
      <c r="V526">
        <f ca="1"/>
        <v>0</v>
      </c>
      <c r="W526">
        <f ca="1"/>
        <v>0</v>
      </c>
      <c r="X526">
        <f ca="1"/>
        <v>0</v>
      </c>
      <c r="Y526">
        <f ca="1"/>
        <v>0</v>
      </c>
      <c r="Z526">
        <f ca="1"/>
        <v>0</v>
      </c>
      <c r="AA526">
        <f ca="1"/>
        <v>0</v>
      </c>
      <c r="AB526">
        <f ca="1"/>
        <v>0</v>
      </c>
      <c r="AC526">
        <f ca="1"/>
        <v>0</v>
      </c>
    </row>
    <row r="527" spans="15:29" x14ac:dyDescent="0.25">
      <c r="O527">
        <f ca="1"/>
        <v>0</v>
      </c>
      <c r="P527">
        <f ca="1"/>
        <v>0</v>
      </c>
      <c r="Q527">
        <f ca="1"/>
        <v>0</v>
      </c>
      <c r="R527">
        <f ca="1"/>
        <v>0</v>
      </c>
      <c r="S527">
        <f ca="1"/>
        <v>0</v>
      </c>
      <c r="T527">
        <f ca="1"/>
        <v>0</v>
      </c>
      <c r="U527">
        <f ca="1"/>
        <v>0</v>
      </c>
      <c r="V527">
        <f ca="1"/>
        <v>0</v>
      </c>
      <c r="W527">
        <f ca="1"/>
        <v>0</v>
      </c>
      <c r="X527">
        <f ca="1"/>
        <v>0</v>
      </c>
      <c r="Y527">
        <f ca="1"/>
        <v>0</v>
      </c>
      <c r="Z527">
        <f ca="1"/>
        <v>0</v>
      </c>
      <c r="AA527">
        <f ca="1"/>
        <v>0</v>
      </c>
      <c r="AB527">
        <f ca="1"/>
        <v>0</v>
      </c>
      <c r="AC527">
        <f ca="1"/>
        <v>0</v>
      </c>
    </row>
    <row r="528" spans="15:29" x14ac:dyDescent="0.25">
      <c r="O528">
        <f ca="1"/>
        <v>0</v>
      </c>
      <c r="P528">
        <f ca="1"/>
        <v>0</v>
      </c>
      <c r="Q528">
        <f ca="1"/>
        <v>0</v>
      </c>
      <c r="R528">
        <f ca="1"/>
        <v>0</v>
      </c>
      <c r="S528">
        <f ca="1"/>
        <v>0</v>
      </c>
      <c r="T528">
        <f ca="1"/>
        <v>0</v>
      </c>
      <c r="U528">
        <f ca="1"/>
        <v>0</v>
      </c>
      <c r="V528">
        <f ca="1"/>
        <v>0</v>
      </c>
      <c r="W528">
        <f ca="1"/>
        <v>0</v>
      </c>
      <c r="X528">
        <f ca="1"/>
        <v>0</v>
      </c>
      <c r="Y528">
        <f ca="1"/>
        <v>0</v>
      </c>
      <c r="Z528">
        <f ca="1"/>
        <v>0</v>
      </c>
      <c r="AA528">
        <f ca="1"/>
        <v>0</v>
      </c>
      <c r="AB528">
        <f ca="1"/>
        <v>0</v>
      </c>
      <c r="AC528">
        <f ca="1"/>
        <v>0</v>
      </c>
    </row>
    <row r="529" spans="15:29" x14ac:dyDescent="0.25">
      <c r="O529">
        <f ca="1"/>
        <v>0</v>
      </c>
      <c r="P529">
        <f ca="1"/>
        <v>0</v>
      </c>
      <c r="Q529">
        <f ca="1"/>
        <v>0</v>
      </c>
      <c r="R529">
        <f ca="1"/>
        <v>0</v>
      </c>
      <c r="S529">
        <f ca="1"/>
        <v>0</v>
      </c>
      <c r="T529">
        <f ca="1"/>
        <v>0</v>
      </c>
      <c r="U529">
        <f ca="1"/>
        <v>0</v>
      </c>
      <c r="V529">
        <f ca="1"/>
        <v>0</v>
      </c>
      <c r="W529">
        <f ca="1"/>
        <v>0</v>
      </c>
      <c r="X529">
        <f ca="1"/>
        <v>0</v>
      </c>
      <c r="Y529">
        <f ca="1"/>
        <v>0</v>
      </c>
      <c r="Z529">
        <f ca="1"/>
        <v>0</v>
      </c>
      <c r="AA529">
        <f ca="1"/>
        <v>0</v>
      </c>
      <c r="AB529">
        <f ca="1"/>
        <v>0</v>
      </c>
      <c r="AC529">
        <f ca="1"/>
        <v>0</v>
      </c>
    </row>
    <row r="530" spans="15:29" x14ac:dyDescent="0.25">
      <c r="O530">
        <f ca="1"/>
        <v>0</v>
      </c>
      <c r="P530">
        <f ca="1"/>
        <v>0</v>
      </c>
      <c r="Q530">
        <f ca="1"/>
        <v>0</v>
      </c>
      <c r="R530">
        <f ca="1"/>
        <v>0</v>
      </c>
      <c r="S530">
        <f ca="1"/>
        <v>0</v>
      </c>
      <c r="T530">
        <f ca="1"/>
        <v>0</v>
      </c>
      <c r="U530">
        <f ca="1"/>
        <v>0</v>
      </c>
      <c r="V530">
        <f ca="1"/>
        <v>0</v>
      </c>
      <c r="W530">
        <f ca="1"/>
        <v>0</v>
      </c>
      <c r="X530">
        <f ca="1"/>
        <v>0</v>
      </c>
      <c r="Y530">
        <f ca="1"/>
        <v>0</v>
      </c>
      <c r="Z530">
        <f ca="1"/>
        <v>0</v>
      </c>
      <c r="AA530">
        <f ca="1"/>
        <v>0</v>
      </c>
      <c r="AB530">
        <f ca="1"/>
        <v>0</v>
      </c>
      <c r="AC530">
        <f ca="1"/>
        <v>0</v>
      </c>
    </row>
    <row r="531" spans="15:29" x14ac:dyDescent="0.25">
      <c r="O531">
        <f ca="1"/>
        <v>0</v>
      </c>
      <c r="P531">
        <f ca="1"/>
        <v>0</v>
      </c>
      <c r="Q531">
        <f ca="1"/>
        <v>0</v>
      </c>
      <c r="R531">
        <f ca="1"/>
        <v>0</v>
      </c>
      <c r="S531">
        <f ca="1"/>
        <v>0</v>
      </c>
      <c r="T531">
        <f ca="1"/>
        <v>0</v>
      </c>
      <c r="U531">
        <f ca="1"/>
        <v>0</v>
      </c>
      <c r="V531">
        <f ca="1"/>
        <v>0</v>
      </c>
      <c r="W531">
        <f ca="1"/>
        <v>0</v>
      </c>
      <c r="X531">
        <f ca="1"/>
        <v>0</v>
      </c>
      <c r="Y531">
        <f ca="1"/>
        <v>0</v>
      </c>
      <c r="Z531">
        <f ca="1"/>
        <v>0</v>
      </c>
      <c r="AA531">
        <f ca="1"/>
        <v>0</v>
      </c>
      <c r="AB531">
        <f ca="1"/>
        <v>0</v>
      </c>
      <c r="AC531">
        <f ca="1"/>
        <v>0</v>
      </c>
    </row>
    <row r="532" spans="15:29" x14ac:dyDescent="0.25">
      <c r="O532">
        <f ca="1"/>
        <v>0</v>
      </c>
      <c r="P532">
        <f ca="1"/>
        <v>0</v>
      </c>
      <c r="Q532">
        <f ca="1"/>
        <v>0</v>
      </c>
      <c r="R532">
        <f ca="1"/>
        <v>0</v>
      </c>
      <c r="S532">
        <f ca="1"/>
        <v>0</v>
      </c>
      <c r="T532">
        <f ca="1"/>
        <v>0</v>
      </c>
      <c r="U532">
        <f ca="1"/>
        <v>0</v>
      </c>
      <c r="V532">
        <f ca="1"/>
        <v>0</v>
      </c>
      <c r="W532">
        <f ca="1"/>
        <v>0</v>
      </c>
      <c r="X532">
        <f ca="1"/>
        <v>0</v>
      </c>
      <c r="Y532">
        <f ca="1"/>
        <v>0</v>
      </c>
      <c r="Z532">
        <f ca="1"/>
        <v>0</v>
      </c>
      <c r="AA532">
        <f ca="1"/>
        <v>0</v>
      </c>
      <c r="AB532">
        <f ca="1"/>
        <v>0</v>
      </c>
      <c r="AC532">
        <f ca="1"/>
        <v>0</v>
      </c>
    </row>
    <row r="533" spans="15:29" x14ac:dyDescent="0.25">
      <c r="O533">
        <f ca="1"/>
        <v>0</v>
      </c>
      <c r="P533">
        <f ca="1"/>
        <v>0</v>
      </c>
      <c r="Q533">
        <f ca="1"/>
        <v>0</v>
      </c>
      <c r="R533">
        <f ca="1"/>
        <v>0</v>
      </c>
      <c r="S533">
        <f ca="1"/>
        <v>0</v>
      </c>
      <c r="T533">
        <f ca="1"/>
        <v>0</v>
      </c>
      <c r="U533">
        <f ca="1"/>
        <v>0</v>
      </c>
      <c r="V533">
        <f ca="1"/>
        <v>0</v>
      </c>
      <c r="W533">
        <f ca="1"/>
        <v>0</v>
      </c>
      <c r="X533">
        <f ca="1"/>
        <v>0</v>
      </c>
      <c r="Y533">
        <f ca="1"/>
        <v>0</v>
      </c>
      <c r="Z533">
        <f ca="1"/>
        <v>0</v>
      </c>
      <c r="AA533">
        <f ca="1"/>
        <v>0</v>
      </c>
      <c r="AB533">
        <f ca="1"/>
        <v>0</v>
      </c>
      <c r="AC533">
        <f ca="1"/>
        <v>0</v>
      </c>
    </row>
    <row r="534" spans="15:29" x14ac:dyDescent="0.25">
      <c r="O534">
        <f ca="1"/>
        <v>0</v>
      </c>
      <c r="P534">
        <f ca="1"/>
        <v>0</v>
      </c>
      <c r="Q534">
        <f ca="1"/>
        <v>0</v>
      </c>
      <c r="R534">
        <f ca="1"/>
        <v>0</v>
      </c>
      <c r="S534">
        <f ca="1"/>
        <v>0</v>
      </c>
      <c r="T534">
        <f ca="1"/>
        <v>0</v>
      </c>
      <c r="U534">
        <f ca="1"/>
        <v>0</v>
      </c>
      <c r="V534">
        <f ca="1"/>
        <v>0</v>
      </c>
      <c r="W534">
        <f ca="1"/>
        <v>0</v>
      </c>
      <c r="X534">
        <f ca="1"/>
        <v>0</v>
      </c>
      <c r="Y534">
        <f ca="1"/>
        <v>0</v>
      </c>
      <c r="Z534">
        <f ca="1"/>
        <v>0</v>
      </c>
      <c r="AA534">
        <f ca="1"/>
        <v>0</v>
      </c>
      <c r="AB534">
        <f ca="1"/>
        <v>0</v>
      </c>
      <c r="AC534">
        <f ca="1"/>
        <v>0</v>
      </c>
    </row>
    <row r="535" spans="15:29" x14ac:dyDescent="0.25">
      <c r="O535">
        <f ca="1"/>
        <v>0</v>
      </c>
      <c r="P535">
        <f ca="1"/>
        <v>0</v>
      </c>
      <c r="Q535">
        <f ca="1"/>
        <v>0</v>
      </c>
      <c r="R535">
        <f ca="1"/>
        <v>0</v>
      </c>
      <c r="S535">
        <f ca="1"/>
        <v>0</v>
      </c>
      <c r="T535">
        <f ca="1"/>
        <v>0</v>
      </c>
      <c r="U535">
        <f ca="1"/>
        <v>0</v>
      </c>
      <c r="V535">
        <f ca="1"/>
        <v>0</v>
      </c>
      <c r="W535">
        <f ca="1"/>
        <v>0</v>
      </c>
      <c r="X535">
        <f ca="1"/>
        <v>0</v>
      </c>
      <c r="Y535">
        <f ca="1"/>
        <v>0</v>
      </c>
      <c r="Z535">
        <f ca="1"/>
        <v>0</v>
      </c>
      <c r="AA535">
        <f ca="1"/>
        <v>0</v>
      </c>
      <c r="AB535">
        <f ca="1"/>
        <v>0</v>
      </c>
      <c r="AC535">
        <f ca="1"/>
        <v>0</v>
      </c>
    </row>
    <row r="536" spans="15:29" x14ac:dyDescent="0.25">
      <c r="O536">
        <f ca="1"/>
        <v>0</v>
      </c>
      <c r="P536">
        <f ca="1"/>
        <v>0</v>
      </c>
      <c r="Q536">
        <f ca="1"/>
        <v>0</v>
      </c>
      <c r="R536">
        <f ca="1"/>
        <v>0</v>
      </c>
      <c r="S536">
        <f ca="1"/>
        <v>0</v>
      </c>
      <c r="T536">
        <f ca="1"/>
        <v>0</v>
      </c>
      <c r="U536">
        <f ca="1"/>
        <v>0</v>
      </c>
      <c r="V536">
        <f ca="1"/>
        <v>0</v>
      </c>
      <c r="W536">
        <f ca="1"/>
        <v>0</v>
      </c>
      <c r="X536">
        <f ca="1"/>
        <v>0</v>
      </c>
      <c r="Y536">
        <f ca="1"/>
        <v>0</v>
      </c>
      <c r="Z536">
        <f ca="1"/>
        <v>0</v>
      </c>
      <c r="AA536">
        <f ca="1"/>
        <v>0</v>
      </c>
      <c r="AB536">
        <f ca="1"/>
        <v>0</v>
      </c>
      <c r="AC536">
        <f ca="1"/>
        <v>0</v>
      </c>
    </row>
    <row r="537" spans="15:29" x14ac:dyDescent="0.25">
      <c r="O537">
        <f ca="1"/>
        <v>0</v>
      </c>
      <c r="P537">
        <f ca="1"/>
        <v>0</v>
      </c>
      <c r="Q537">
        <f ca="1"/>
        <v>0</v>
      </c>
      <c r="R537">
        <f ca="1"/>
        <v>0</v>
      </c>
      <c r="S537">
        <f ca="1"/>
        <v>0</v>
      </c>
      <c r="T537">
        <f ca="1"/>
        <v>0</v>
      </c>
      <c r="U537">
        <f ca="1"/>
        <v>0</v>
      </c>
      <c r="V537">
        <f ca="1"/>
        <v>0</v>
      </c>
      <c r="W537">
        <f ca="1"/>
        <v>0</v>
      </c>
      <c r="X537">
        <f ca="1"/>
        <v>0</v>
      </c>
      <c r="Y537">
        <f ca="1"/>
        <v>0</v>
      </c>
      <c r="Z537">
        <f ca="1"/>
        <v>0</v>
      </c>
      <c r="AA537">
        <f ca="1"/>
        <v>0</v>
      </c>
      <c r="AB537">
        <f ca="1"/>
        <v>0</v>
      </c>
      <c r="AC537">
        <f ca="1"/>
        <v>0</v>
      </c>
    </row>
    <row r="538" spans="15:29" x14ac:dyDescent="0.25">
      <c r="O538">
        <f ca="1"/>
        <v>0</v>
      </c>
      <c r="P538">
        <f ca="1"/>
        <v>0</v>
      </c>
      <c r="Q538">
        <f ca="1"/>
        <v>0</v>
      </c>
      <c r="R538">
        <f ca="1"/>
        <v>0</v>
      </c>
      <c r="S538">
        <f ca="1"/>
        <v>0</v>
      </c>
      <c r="T538">
        <f ca="1"/>
        <v>0</v>
      </c>
      <c r="U538">
        <f ca="1"/>
        <v>0</v>
      </c>
      <c r="V538">
        <f ca="1"/>
        <v>0</v>
      </c>
      <c r="W538">
        <f ca="1"/>
        <v>0</v>
      </c>
      <c r="X538">
        <f ca="1"/>
        <v>0</v>
      </c>
      <c r="Y538">
        <f ca="1"/>
        <v>0</v>
      </c>
      <c r="Z538">
        <f ca="1"/>
        <v>0</v>
      </c>
      <c r="AA538">
        <f ca="1"/>
        <v>0</v>
      </c>
      <c r="AB538">
        <f ca="1"/>
        <v>0</v>
      </c>
      <c r="AC538">
        <f ca="1"/>
        <v>0</v>
      </c>
    </row>
    <row r="539" spans="15:29" x14ac:dyDescent="0.25">
      <c r="O539">
        <f ca="1"/>
        <v>0</v>
      </c>
      <c r="P539">
        <f ca="1"/>
        <v>0</v>
      </c>
      <c r="Q539">
        <f ca="1"/>
        <v>0</v>
      </c>
      <c r="R539">
        <f ca="1"/>
        <v>0</v>
      </c>
      <c r="S539">
        <f ca="1"/>
        <v>0</v>
      </c>
      <c r="T539">
        <f ca="1"/>
        <v>0</v>
      </c>
      <c r="U539">
        <f ca="1"/>
        <v>0</v>
      </c>
      <c r="V539">
        <f ca="1"/>
        <v>0</v>
      </c>
      <c r="W539">
        <f ca="1"/>
        <v>0</v>
      </c>
      <c r="X539">
        <f ca="1"/>
        <v>0</v>
      </c>
      <c r="Y539">
        <f ca="1"/>
        <v>0</v>
      </c>
      <c r="Z539">
        <f ca="1"/>
        <v>0</v>
      </c>
      <c r="AA539">
        <f ca="1"/>
        <v>0</v>
      </c>
      <c r="AB539">
        <f ca="1"/>
        <v>0</v>
      </c>
      <c r="AC539">
        <f ca="1"/>
        <v>0</v>
      </c>
    </row>
    <row r="540" spans="15:29" x14ac:dyDescent="0.25">
      <c r="O540">
        <f ca="1"/>
        <v>0</v>
      </c>
      <c r="P540">
        <f ca="1"/>
        <v>0</v>
      </c>
      <c r="Q540">
        <f ca="1"/>
        <v>0</v>
      </c>
      <c r="R540">
        <f ca="1"/>
        <v>0</v>
      </c>
      <c r="S540">
        <f ca="1"/>
        <v>0</v>
      </c>
      <c r="T540">
        <f ca="1"/>
        <v>0</v>
      </c>
      <c r="U540">
        <f ca="1"/>
        <v>0</v>
      </c>
      <c r="V540">
        <f ca="1"/>
        <v>0</v>
      </c>
      <c r="W540">
        <f ca="1"/>
        <v>0</v>
      </c>
      <c r="X540">
        <f ca="1"/>
        <v>0</v>
      </c>
      <c r="Y540">
        <f ca="1"/>
        <v>0</v>
      </c>
      <c r="Z540">
        <f ca="1"/>
        <v>0</v>
      </c>
      <c r="AA540">
        <f ca="1"/>
        <v>0</v>
      </c>
      <c r="AB540">
        <f ca="1"/>
        <v>0</v>
      </c>
      <c r="AC540">
        <f ca="1"/>
        <v>0</v>
      </c>
    </row>
    <row r="541" spans="15:29" x14ac:dyDescent="0.25">
      <c r="O541">
        <f ca="1"/>
        <v>0</v>
      </c>
      <c r="P541">
        <f ca="1"/>
        <v>0</v>
      </c>
      <c r="Q541">
        <f ca="1"/>
        <v>0</v>
      </c>
      <c r="R541">
        <f ca="1"/>
        <v>0</v>
      </c>
      <c r="S541">
        <f ca="1"/>
        <v>0</v>
      </c>
      <c r="T541">
        <f ca="1"/>
        <v>0</v>
      </c>
      <c r="U541">
        <f ca="1"/>
        <v>0</v>
      </c>
      <c r="V541">
        <f ca="1"/>
        <v>0</v>
      </c>
      <c r="W541">
        <f ca="1"/>
        <v>0</v>
      </c>
      <c r="X541">
        <f ca="1"/>
        <v>0</v>
      </c>
      <c r="Y541">
        <f ca="1"/>
        <v>0</v>
      </c>
      <c r="Z541">
        <f ca="1"/>
        <v>0</v>
      </c>
      <c r="AA541">
        <f ca="1"/>
        <v>0</v>
      </c>
      <c r="AB541">
        <f ca="1"/>
        <v>0</v>
      </c>
      <c r="AC541">
        <f ca="1"/>
        <v>0</v>
      </c>
    </row>
    <row r="542" spans="15:29" x14ac:dyDescent="0.25">
      <c r="O542">
        <f ca="1"/>
        <v>0</v>
      </c>
      <c r="P542">
        <f ca="1"/>
        <v>0</v>
      </c>
      <c r="Q542">
        <f ca="1"/>
        <v>0</v>
      </c>
      <c r="R542">
        <f ca="1"/>
        <v>0</v>
      </c>
      <c r="S542">
        <f ca="1"/>
        <v>0</v>
      </c>
      <c r="T542">
        <f ca="1"/>
        <v>0</v>
      </c>
      <c r="U542">
        <f ca="1"/>
        <v>0</v>
      </c>
      <c r="V542">
        <f ca="1"/>
        <v>0</v>
      </c>
      <c r="W542">
        <f ca="1"/>
        <v>0</v>
      </c>
      <c r="X542">
        <f ca="1"/>
        <v>0</v>
      </c>
      <c r="Y542">
        <f ca="1"/>
        <v>0</v>
      </c>
      <c r="Z542">
        <f ca="1"/>
        <v>0</v>
      </c>
      <c r="AA542">
        <f ca="1"/>
        <v>0</v>
      </c>
      <c r="AB542">
        <f ca="1"/>
        <v>0</v>
      </c>
      <c r="AC542">
        <f ca="1"/>
        <v>0</v>
      </c>
    </row>
    <row r="543" spans="15:29" x14ac:dyDescent="0.25">
      <c r="O543">
        <f ca="1"/>
        <v>0</v>
      </c>
      <c r="P543">
        <f ca="1"/>
        <v>0</v>
      </c>
      <c r="Q543">
        <f ca="1"/>
        <v>0</v>
      </c>
      <c r="R543">
        <f ca="1"/>
        <v>0</v>
      </c>
      <c r="S543">
        <f ca="1"/>
        <v>0</v>
      </c>
      <c r="T543">
        <f ca="1"/>
        <v>0</v>
      </c>
      <c r="U543">
        <f ca="1"/>
        <v>0</v>
      </c>
      <c r="V543">
        <f ca="1"/>
        <v>0</v>
      </c>
      <c r="W543">
        <f ca="1"/>
        <v>0</v>
      </c>
      <c r="X543">
        <f ca="1"/>
        <v>0</v>
      </c>
      <c r="Y543">
        <f ca="1"/>
        <v>0</v>
      </c>
      <c r="Z543">
        <f ca="1"/>
        <v>0</v>
      </c>
      <c r="AA543">
        <f ca="1"/>
        <v>0</v>
      </c>
      <c r="AB543">
        <f ca="1"/>
        <v>0</v>
      </c>
      <c r="AC543">
        <f ca="1"/>
        <v>0</v>
      </c>
    </row>
    <row r="544" spans="15:29" x14ac:dyDescent="0.25">
      <c r="O544">
        <f ca="1"/>
        <v>0</v>
      </c>
      <c r="P544">
        <f ca="1"/>
        <v>0</v>
      </c>
      <c r="Q544">
        <f ca="1"/>
        <v>0</v>
      </c>
      <c r="R544">
        <f ca="1"/>
        <v>0</v>
      </c>
      <c r="S544">
        <f ca="1"/>
        <v>0</v>
      </c>
      <c r="T544">
        <f ca="1"/>
        <v>0</v>
      </c>
      <c r="U544">
        <f ca="1"/>
        <v>0</v>
      </c>
      <c r="V544">
        <f ca="1"/>
        <v>0</v>
      </c>
      <c r="W544">
        <f ca="1"/>
        <v>0</v>
      </c>
      <c r="X544">
        <f ca="1"/>
        <v>0</v>
      </c>
      <c r="Y544">
        <f ca="1"/>
        <v>0</v>
      </c>
      <c r="Z544">
        <f ca="1"/>
        <v>0</v>
      </c>
      <c r="AA544">
        <f ca="1"/>
        <v>0</v>
      </c>
      <c r="AB544">
        <f ca="1"/>
        <v>0</v>
      </c>
      <c r="AC544">
        <f ca="1"/>
        <v>0</v>
      </c>
    </row>
    <row r="545" spans="15:29" x14ac:dyDescent="0.25">
      <c r="O545">
        <f ca="1"/>
        <v>0</v>
      </c>
      <c r="P545">
        <f ca="1"/>
        <v>0</v>
      </c>
      <c r="Q545">
        <f ca="1"/>
        <v>0</v>
      </c>
      <c r="R545">
        <f ca="1"/>
        <v>0</v>
      </c>
      <c r="S545">
        <f ca="1"/>
        <v>0</v>
      </c>
      <c r="T545">
        <f ca="1"/>
        <v>0</v>
      </c>
      <c r="U545">
        <f ca="1"/>
        <v>0</v>
      </c>
      <c r="V545">
        <f ca="1"/>
        <v>0</v>
      </c>
      <c r="W545">
        <f ca="1"/>
        <v>0</v>
      </c>
      <c r="X545">
        <f ca="1"/>
        <v>0</v>
      </c>
      <c r="Y545">
        <f ca="1"/>
        <v>0</v>
      </c>
      <c r="Z545">
        <f ca="1"/>
        <v>0</v>
      </c>
      <c r="AA545">
        <f ca="1"/>
        <v>0</v>
      </c>
      <c r="AB545">
        <f ca="1"/>
        <v>0</v>
      </c>
      <c r="AC545">
        <f ca="1"/>
        <v>0</v>
      </c>
    </row>
    <row r="546" spans="15:29" x14ac:dyDescent="0.25">
      <c r="O546">
        <f ca="1"/>
        <v>0</v>
      </c>
      <c r="P546">
        <f ca="1"/>
        <v>0</v>
      </c>
      <c r="Q546">
        <f ca="1"/>
        <v>0</v>
      </c>
      <c r="R546">
        <f ca="1"/>
        <v>0</v>
      </c>
      <c r="S546">
        <f ca="1"/>
        <v>0</v>
      </c>
      <c r="T546">
        <f ca="1"/>
        <v>0</v>
      </c>
      <c r="U546">
        <f ca="1"/>
        <v>0</v>
      </c>
      <c r="V546">
        <f ca="1"/>
        <v>0</v>
      </c>
      <c r="W546">
        <f ca="1"/>
        <v>0</v>
      </c>
      <c r="X546">
        <f ca="1"/>
        <v>0</v>
      </c>
      <c r="Y546">
        <f ca="1"/>
        <v>0</v>
      </c>
      <c r="Z546">
        <f ca="1"/>
        <v>0</v>
      </c>
      <c r="AA546">
        <f ca="1"/>
        <v>0</v>
      </c>
      <c r="AB546">
        <f ca="1"/>
        <v>0</v>
      </c>
      <c r="AC546">
        <f ca="1"/>
        <v>0</v>
      </c>
    </row>
    <row r="547" spans="15:29" x14ac:dyDescent="0.25">
      <c r="O547">
        <f ca="1"/>
        <v>0</v>
      </c>
      <c r="P547">
        <f ca="1"/>
        <v>0</v>
      </c>
      <c r="Q547">
        <f ca="1"/>
        <v>0</v>
      </c>
      <c r="R547">
        <f ca="1"/>
        <v>0</v>
      </c>
      <c r="S547">
        <f ca="1"/>
        <v>0</v>
      </c>
      <c r="T547">
        <f ca="1"/>
        <v>0</v>
      </c>
      <c r="U547">
        <f ca="1"/>
        <v>0</v>
      </c>
      <c r="V547">
        <f ca="1"/>
        <v>0</v>
      </c>
      <c r="W547">
        <f ca="1"/>
        <v>0</v>
      </c>
      <c r="X547">
        <f ca="1"/>
        <v>0</v>
      </c>
      <c r="Y547">
        <f ca="1"/>
        <v>0</v>
      </c>
      <c r="Z547">
        <f ca="1"/>
        <v>0</v>
      </c>
      <c r="AA547">
        <f ca="1"/>
        <v>0</v>
      </c>
      <c r="AB547">
        <f ca="1"/>
        <v>0</v>
      </c>
      <c r="AC547">
        <f ca="1"/>
        <v>0</v>
      </c>
    </row>
    <row r="548" spans="15:29" x14ac:dyDescent="0.25">
      <c r="O548">
        <f ca="1"/>
        <v>0</v>
      </c>
      <c r="P548">
        <f ca="1"/>
        <v>0</v>
      </c>
      <c r="Q548">
        <f ca="1"/>
        <v>0</v>
      </c>
      <c r="R548">
        <f ca="1"/>
        <v>0</v>
      </c>
      <c r="S548">
        <f ca="1"/>
        <v>0</v>
      </c>
      <c r="T548">
        <f ca="1"/>
        <v>0</v>
      </c>
      <c r="U548">
        <f ca="1"/>
        <v>0</v>
      </c>
      <c r="V548">
        <f ca="1"/>
        <v>0</v>
      </c>
      <c r="W548">
        <f ca="1"/>
        <v>0</v>
      </c>
      <c r="X548">
        <f ca="1"/>
        <v>0</v>
      </c>
      <c r="Y548">
        <f ca="1"/>
        <v>0</v>
      </c>
      <c r="Z548">
        <f ca="1"/>
        <v>0</v>
      </c>
      <c r="AA548">
        <f ca="1"/>
        <v>0</v>
      </c>
      <c r="AB548">
        <f ca="1"/>
        <v>0</v>
      </c>
      <c r="AC548">
        <f ca="1"/>
        <v>0</v>
      </c>
    </row>
    <row r="549" spans="15:29" x14ac:dyDescent="0.25">
      <c r="O549">
        <f ca="1"/>
        <v>0</v>
      </c>
      <c r="P549">
        <f ca="1"/>
        <v>0</v>
      </c>
      <c r="Q549">
        <f ca="1"/>
        <v>0</v>
      </c>
      <c r="R549">
        <f ca="1"/>
        <v>0</v>
      </c>
      <c r="S549">
        <f ca="1"/>
        <v>0</v>
      </c>
      <c r="T549">
        <f ca="1"/>
        <v>0</v>
      </c>
      <c r="U549">
        <f ca="1"/>
        <v>0</v>
      </c>
      <c r="V549">
        <f ca="1"/>
        <v>0</v>
      </c>
      <c r="W549">
        <f ca="1"/>
        <v>0</v>
      </c>
      <c r="X549">
        <f ca="1"/>
        <v>0</v>
      </c>
      <c r="Y549">
        <f ca="1"/>
        <v>0</v>
      </c>
      <c r="Z549">
        <f ca="1"/>
        <v>0</v>
      </c>
      <c r="AA549">
        <f ca="1"/>
        <v>0</v>
      </c>
      <c r="AB549">
        <f ca="1"/>
        <v>0</v>
      </c>
      <c r="AC549">
        <f ca="1"/>
        <v>0</v>
      </c>
    </row>
    <row r="550" spans="15:29" x14ac:dyDescent="0.25">
      <c r="O550">
        <f ca="1"/>
        <v>0</v>
      </c>
      <c r="P550">
        <f ca="1"/>
        <v>0</v>
      </c>
      <c r="Q550">
        <f ca="1"/>
        <v>0</v>
      </c>
      <c r="R550">
        <f ca="1"/>
        <v>0</v>
      </c>
      <c r="S550">
        <f ca="1"/>
        <v>0</v>
      </c>
      <c r="T550">
        <f ca="1"/>
        <v>0</v>
      </c>
      <c r="U550">
        <f ca="1"/>
        <v>0</v>
      </c>
      <c r="V550">
        <f ca="1"/>
        <v>0</v>
      </c>
      <c r="W550">
        <f ca="1"/>
        <v>0</v>
      </c>
      <c r="X550">
        <f ca="1"/>
        <v>0</v>
      </c>
      <c r="Y550">
        <f ca="1"/>
        <v>0</v>
      </c>
      <c r="Z550">
        <f ca="1"/>
        <v>0</v>
      </c>
      <c r="AA550">
        <f ca="1"/>
        <v>0</v>
      </c>
      <c r="AB550">
        <f ca="1"/>
        <v>0</v>
      </c>
      <c r="AC550">
        <f ca="1"/>
        <v>0</v>
      </c>
    </row>
    <row r="551" spans="15:29" x14ac:dyDescent="0.25">
      <c r="O551">
        <f ca="1"/>
        <v>0</v>
      </c>
      <c r="P551">
        <f ca="1"/>
        <v>0</v>
      </c>
      <c r="Q551">
        <f ca="1"/>
        <v>0</v>
      </c>
      <c r="R551">
        <f ca="1"/>
        <v>0</v>
      </c>
      <c r="S551">
        <f ca="1"/>
        <v>0</v>
      </c>
      <c r="T551">
        <f ca="1"/>
        <v>0</v>
      </c>
      <c r="U551">
        <f ca="1"/>
        <v>0</v>
      </c>
      <c r="V551">
        <f ca="1"/>
        <v>0</v>
      </c>
      <c r="W551">
        <f ca="1"/>
        <v>0</v>
      </c>
      <c r="X551">
        <f ca="1"/>
        <v>0</v>
      </c>
      <c r="Y551">
        <f ca="1"/>
        <v>0</v>
      </c>
      <c r="Z551">
        <f ca="1"/>
        <v>0</v>
      </c>
      <c r="AA551">
        <f ca="1"/>
        <v>0</v>
      </c>
      <c r="AB551">
        <f ca="1"/>
        <v>0</v>
      </c>
      <c r="AC551">
        <f ca="1"/>
        <v>0</v>
      </c>
    </row>
    <row r="552" spans="15:29" x14ac:dyDescent="0.25">
      <c r="O552">
        <f ca="1"/>
        <v>0</v>
      </c>
      <c r="P552">
        <f ca="1"/>
        <v>0</v>
      </c>
      <c r="Q552">
        <f ca="1"/>
        <v>0</v>
      </c>
      <c r="R552">
        <f ca="1"/>
        <v>0</v>
      </c>
      <c r="S552">
        <f ca="1"/>
        <v>0</v>
      </c>
      <c r="T552">
        <f ca="1"/>
        <v>0</v>
      </c>
      <c r="U552">
        <f ca="1"/>
        <v>0</v>
      </c>
      <c r="V552">
        <f ca="1"/>
        <v>0</v>
      </c>
      <c r="W552">
        <f ca="1"/>
        <v>0</v>
      </c>
      <c r="X552">
        <f ca="1"/>
        <v>0</v>
      </c>
      <c r="Y552">
        <f ca="1"/>
        <v>0</v>
      </c>
      <c r="Z552">
        <f ca="1"/>
        <v>0</v>
      </c>
      <c r="AA552">
        <f ca="1"/>
        <v>0</v>
      </c>
      <c r="AB552">
        <f ca="1"/>
        <v>0</v>
      </c>
      <c r="AC552">
        <f ca="1"/>
        <v>0</v>
      </c>
    </row>
    <row r="553" spans="15:29" x14ac:dyDescent="0.25">
      <c r="O553">
        <f ca="1"/>
        <v>0</v>
      </c>
      <c r="P553">
        <f ca="1"/>
        <v>0</v>
      </c>
      <c r="Q553">
        <f ca="1"/>
        <v>0</v>
      </c>
      <c r="R553">
        <f ca="1"/>
        <v>0</v>
      </c>
      <c r="S553">
        <f ca="1"/>
        <v>0</v>
      </c>
      <c r="T553">
        <f ca="1"/>
        <v>0</v>
      </c>
      <c r="U553">
        <f ca="1"/>
        <v>0</v>
      </c>
      <c r="V553">
        <f ca="1"/>
        <v>0</v>
      </c>
      <c r="W553">
        <f ca="1"/>
        <v>0</v>
      </c>
      <c r="X553">
        <f ca="1"/>
        <v>0</v>
      </c>
      <c r="Y553">
        <f ca="1"/>
        <v>0</v>
      </c>
      <c r="Z553">
        <f ca="1"/>
        <v>0</v>
      </c>
      <c r="AA553">
        <f ca="1"/>
        <v>0</v>
      </c>
      <c r="AB553">
        <f ca="1"/>
        <v>0</v>
      </c>
      <c r="AC553">
        <f ca="1"/>
        <v>0</v>
      </c>
    </row>
    <row r="554" spans="15:29" x14ac:dyDescent="0.25">
      <c r="O554">
        <f ca="1"/>
        <v>0</v>
      </c>
      <c r="P554">
        <f ca="1"/>
        <v>0</v>
      </c>
      <c r="Q554">
        <f ca="1"/>
        <v>0</v>
      </c>
      <c r="R554">
        <f ca="1"/>
        <v>0</v>
      </c>
      <c r="S554">
        <f ca="1"/>
        <v>0</v>
      </c>
      <c r="T554">
        <f ca="1"/>
        <v>0</v>
      </c>
      <c r="U554">
        <f ca="1"/>
        <v>0</v>
      </c>
      <c r="V554">
        <f ca="1"/>
        <v>0</v>
      </c>
      <c r="W554">
        <f ca="1"/>
        <v>0</v>
      </c>
      <c r="X554">
        <f ca="1"/>
        <v>0</v>
      </c>
      <c r="Y554">
        <f ca="1"/>
        <v>0</v>
      </c>
      <c r="Z554">
        <f ca="1"/>
        <v>0</v>
      </c>
      <c r="AA554">
        <f ca="1"/>
        <v>0</v>
      </c>
      <c r="AB554">
        <f ca="1"/>
        <v>0</v>
      </c>
      <c r="AC554">
        <f ca="1"/>
        <v>0</v>
      </c>
    </row>
    <row r="555" spans="15:29" x14ac:dyDescent="0.25">
      <c r="O555">
        <f ca="1"/>
        <v>0</v>
      </c>
      <c r="P555">
        <f ca="1"/>
        <v>0</v>
      </c>
      <c r="Q555">
        <f ca="1"/>
        <v>0</v>
      </c>
      <c r="R555">
        <f ca="1"/>
        <v>0</v>
      </c>
      <c r="S555">
        <f ca="1"/>
        <v>0</v>
      </c>
      <c r="T555">
        <f ca="1"/>
        <v>0</v>
      </c>
      <c r="U555">
        <f ca="1"/>
        <v>0</v>
      </c>
      <c r="V555">
        <f ca="1"/>
        <v>0</v>
      </c>
      <c r="W555">
        <f ca="1"/>
        <v>0</v>
      </c>
      <c r="X555">
        <f ca="1"/>
        <v>0</v>
      </c>
      <c r="Y555">
        <f ca="1"/>
        <v>0</v>
      </c>
      <c r="Z555">
        <f ca="1"/>
        <v>0</v>
      </c>
      <c r="AA555">
        <f ca="1"/>
        <v>0</v>
      </c>
      <c r="AB555">
        <f ca="1"/>
        <v>0</v>
      </c>
      <c r="AC555">
        <f ca="1"/>
        <v>0</v>
      </c>
    </row>
    <row r="556" spans="15:29" x14ac:dyDescent="0.25">
      <c r="O556">
        <f ca="1"/>
        <v>0</v>
      </c>
      <c r="P556">
        <f ca="1"/>
        <v>0</v>
      </c>
      <c r="Q556">
        <f ca="1"/>
        <v>0</v>
      </c>
      <c r="R556">
        <f ca="1"/>
        <v>0</v>
      </c>
      <c r="S556">
        <f ca="1"/>
        <v>0</v>
      </c>
      <c r="T556">
        <f ca="1"/>
        <v>0</v>
      </c>
      <c r="U556">
        <f ca="1"/>
        <v>0</v>
      </c>
      <c r="V556">
        <f ca="1"/>
        <v>0</v>
      </c>
      <c r="W556">
        <f ca="1"/>
        <v>0</v>
      </c>
      <c r="X556">
        <f ca="1"/>
        <v>0</v>
      </c>
      <c r="Y556">
        <f ca="1"/>
        <v>0</v>
      </c>
      <c r="Z556">
        <f ca="1"/>
        <v>0</v>
      </c>
      <c r="AA556">
        <f ca="1"/>
        <v>0</v>
      </c>
      <c r="AB556">
        <f ca="1"/>
        <v>0</v>
      </c>
      <c r="AC556">
        <f ca="1"/>
        <v>0</v>
      </c>
    </row>
    <row r="557" spans="15:29" x14ac:dyDescent="0.25">
      <c r="O557">
        <f ca="1"/>
        <v>0</v>
      </c>
      <c r="P557">
        <f ca="1"/>
        <v>0</v>
      </c>
      <c r="Q557">
        <f ca="1"/>
        <v>0</v>
      </c>
      <c r="R557">
        <f ca="1"/>
        <v>0</v>
      </c>
      <c r="S557">
        <f ca="1"/>
        <v>0</v>
      </c>
      <c r="T557">
        <f ca="1"/>
        <v>0</v>
      </c>
      <c r="U557">
        <f ca="1"/>
        <v>0</v>
      </c>
      <c r="V557">
        <f ca="1"/>
        <v>0</v>
      </c>
      <c r="W557">
        <f ca="1"/>
        <v>0</v>
      </c>
      <c r="X557">
        <f ca="1"/>
        <v>0</v>
      </c>
      <c r="Y557">
        <f ca="1"/>
        <v>0</v>
      </c>
      <c r="Z557">
        <f ca="1"/>
        <v>0</v>
      </c>
      <c r="AA557">
        <f ca="1"/>
        <v>0</v>
      </c>
      <c r="AB557">
        <f ca="1"/>
        <v>0</v>
      </c>
      <c r="AC557">
        <f ca="1"/>
        <v>0</v>
      </c>
    </row>
    <row r="558" spans="15:29" x14ac:dyDescent="0.25">
      <c r="O558">
        <f ca="1"/>
        <v>0</v>
      </c>
      <c r="P558">
        <f ca="1"/>
        <v>0</v>
      </c>
      <c r="Q558">
        <f ca="1"/>
        <v>0</v>
      </c>
      <c r="R558">
        <f ca="1"/>
        <v>0</v>
      </c>
      <c r="S558">
        <f ca="1"/>
        <v>0</v>
      </c>
      <c r="T558">
        <f ca="1"/>
        <v>0</v>
      </c>
      <c r="U558">
        <f ca="1"/>
        <v>0</v>
      </c>
      <c r="V558">
        <f ca="1"/>
        <v>0</v>
      </c>
      <c r="W558">
        <f ca="1"/>
        <v>0</v>
      </c>
      <c r="X558">
        <f ca="1"/>
        <v>0</v>
      </c>
      <c r="Y558">
        <f ca="1"/>
        <v>0</v>
      </c>
      <c r="Z558">
        <f ca="1"/>
        <v>0</v>
      </c>
      <c r="AA558">
        <f ca="1"/>
        <v>0</v>
      </c>
      <c r="AB558">
        <f ca="1"/>
        <v>0</v>
      </c>
      <c r="AC558">
        <f ca="1"/>
        <v>0</v>
      </c>
    </row>
    <row r="559" spans="15:29" x14ac:dyDescent="0.25">
      <c r="O559">
        <f ca="1"/>
        <v>0</v>
      </c>
      <c r="P559">
        <f ca="1"/>
        <v>0</v>
      </c>
      <c r="Q559">
        <f ca="1"/>
        <v>0</v>
      </c>
      <c r="R559">
        <f ca="1"/>
        <v>0</v>
      </c>
      <c r="S559">
        <f ca="1"/>
        <v>0</v>
      </c>
      <c r="T559">
        <f ca="1"/>
        <v>0</v>
      </c>
      <c r="U559">
        <f ca="1"/>
        <v>0</v>
      </c>
      <c r="V559">
        <f ca="1"/>
        <v>0</v>
      </c>
      <c r="W559">
        <f ca="1"/>
        <v>0</v>
      </c>
      <c r="X559">
        <f ca="1"/>
        <v>0</v>
      </c>
      <c r="Y559">
        <f ca="1"/>
        <v>0</v>
      </c>
      <c r="Z559">
        <f ca="1"/>
        <v>0</v>
      </c>
      <c r="AA559">
        <f ca="1"/>
        <v>0</v>
      </c>
      <c r="AB559">
        <f ca="1"/>
        <v>0</v>
      </c>
      <c r="AC559">
        <f ca="1"/>
        <v>0</v>
      </c>
    </row>
    <row r="560" spans="15:29" x14ac:dyDescent="0.25">
      <c r="O560">
        <f ca="1"/>
        <v>0</v>
      </c>
      <c r="P560">
        <f ca="1"/>
        <v>0</v>
      </c>
      <c r="Q560">
        <f ca="1"/>
        <v>0</v>
      </c>
      <c r="R560">
        <f ca="1"/>
        <v>0</v>
      </c>
      <c r="S560">
        <f ca="1"/>
        <v>0</v>
      </c>
      <c r="T560">
        <f ca="1"/>
        <v>0</v>
      </c>
      <c r="U560">
        <f ca="1"/>
        <v>0</v>
      </c>
      <c r="V560">
        <f ca="1"/>
        <v>0</v>
      </c>
      <c r="W560">
        <f ca="1"/>
        <v>0</v>
      </c>
      <c r="X560">
        <f ca="1"/>
        <v>0</v>
      </c>
      <c r="Y560">
        <f ca="1"/>
        <v>0</v>
      </c>
      <c r="Z560">
        <f ca="1"/>
        <v>0</v>
      </c>
      <c r="AA560">
        <f ca="1"/>
        <v>0</v>
      </c>
      <c r="AB560">
        <f ca="1"/>
        <v>0</v>
      </c>
      <c r="AC560">
        <f ca="1"/>
        <v>0</v>
      </c>
    </row>
    <row r="561" spans="15:29" x14ac:dyDescent="0.25">
      <c r="O561">
        <f ca="1"/>
        <v>0</v>
      </c>
      <c r="P561">
        <f ca="1"/>
        <v>0</v>
      </c>
      <c r="Q561">
        <f ca="1"/>
        <v>0</v>
      </c>
      <c r="R561">
        <f ca="1"/>
        <v>0</v>
      </c>
      <c r="S561">
        <f ca="1"/>
        <v>0</v>
      </c>
      <c r="T561">
        <f ca="1"/>
        <v>0</v>
      </c>
      <c r="U561">
        <f ca="1"/>
        <v>0</v>
      </c>
      <c r="V561">
        <f ca="1"/>
        <v>0</v>
      </c>
      <c r="W561">
        <f ca="1"/>
        <v>0</v>
      </c>
      <c r="X561">
        <f ca="1"/>
        <v>0</v>
      </c>
      <c r="Y561">
        <f ca="1"/>
        <v>0</v>
      </c>
      <c r="Z561">
        <f ca="1"/>
        <v>0</v>
      </c>
      <c r="AA561">
        <f ca="1"/>
        <v>0</v>
      </c>
      <c r="AB561">
        <f ca="1"/>
        <v>0</v>
      </c>
      <c r="AC561">
        <f ca="1"/>
        <v>0</v>
      </c>
    </row>
    <row r="562" spans="15:29" x14ac:dyDescent="0.25">
      <c r="O562">
        <f ca="1"/>
        <v>0</v>
      </c>
      <c r="P562">
        <f ca="1"/>
        <v>0</v>
      </c>
      <c r="Q562">
        <f ca="1"/>
        <v>0</v>
      </c>
      <c r="R562">
        <f ca="1"/>
        <v>0</v>
      </c>
      <c r="S562">
        <f ca="1"/>
        <v>0</v>
      </c>
      <c r="T562">
        <f ca="1"/>
        <v>0</v>
      </c>
      <c r="U562">
        <f ca="1"/>
        <v>0</v>
      </c>
      <c r="V562">
        <f ca="1"/>
        <v>0</v>
      </c>
      <c r="W562">
        <f ca="1"/>
        <v>0</v>
      </c>
      <c r="X562">
        <f ca="1"/>
        <v>0</v>
      </c>
      <c r="Y562">
        <f ca="1"/>
        <v>0</v>
      </c>
      <c r="Z562">
        <f ca="1"/>
        <v>0</v>
      </c>
      <c r="AA562">
        <f ca="1"/>
        <v>0</v>
      </c>
      <c r="AB562">
        <f ca="1"/>
        <v>0</v>
      </c>
      <c r="AC562">
        <f ca="1"/>
        <v>0</v>
      </c>
    </row>
    <row r="563" spans="15:29" x14ac:dyDescent="0.25">
      <c r="O563">
        <f ca="1"/>
        <v>0</v>
      </c>
      <c r="P563">
        <f ca="1"/>
        <v>0</v>
      </c>
      <c r="Q563">
        <f ca="1"/>
        <v>0</v>
      </c>
      <c r="R563">
        <f ca="1"/>
        <v>0</v>
      </c>
      <c r="S563">
        <f ca="1"/>
        <v>0</v>
      </c>
      <c r="T563">
        <f ca="1"/>
        <v>0</v>
      </c>
      <c r="U563">
        <f ca="1"/>
        <v>0</v>
      </c>
      <c r="V563">
        <f ca="1"/>
        <v>0</v>
      </c>
      <c r="W563">
        <f ca="1"/>
        <v>0</v>
      </c>
      <c r="X563">
        <f ca="1"/>
        <v>0</v>
      </c>
      <c r="Y563">
        <f ca="1"/>
        <v>0</v>
      </c>
      <c r="Z563">
        <f ca="1"/>
        <v>0</v>
      </c>
      <c r="AA563">
        <f ca="1"/>
        <v>0</v>
      </c>
      <c r="AB563">
        <f ca="1"/>
        <v>0</v>
      </c>
      <c r="AC563">
        <f ca="1"/>
        <v>0</v>
      </c>
    </row>
    <row r="564" spans="15:29" x14ac:dyDescent="0.25">
      <c r="O564">
        <f ca="1"/>
        <v>0</v>
      </c>
      <c r="P564">
        <f ca="1"/>
        <v>0</v>
      </c>
      <c r="Q564">
        <f ca="1"/>
        <v>0</v>
      </c>
      <c r="R564">
        <f ca="1"/>
        <v>0</v>
      </c>
      <c r="S564">
        <f ca="1"/>
        <v>0</v>
      </c>
      <c r="T564">
        <f ca="1"/>
        <v>0</v>
      </c>
      <c r="U564">
        <f ca="1"/>
        <v>0</v>
      </c>
      <c r="V564">
        <f ca="1"/>
        <v>0</v>
      </c>
      <c r="W564">
        <f ca="1"/>
        <v>0</v>
      </c>
      <c r="X564">
        <f ca="1"/>
        <v>0</v>
      </c>
      <c r="Y564">
        <f ca="1"/>
        <v>0</v>
      </c>
      <c r="Z564">
        <f ca="1"/>
        <v>0</v>
      </c>
      <c r="AA564">
        <f ca="1"/>
        <v>0</v>
      </c>
      <c r="AB564">
        <f ca="1"/>
        <v>0</v>
      </c>
      <c r="AC564">
        <f ca="1"/>
        <v>0</v>
      </c>
    </row>
    <row r="565" spans="15:29" x14ac:dyDescent="0.25">
      <c r="O565">
        <f ca="1"/>
        <v>0</v>
      </c>
      <c r="P565">
        <f ca="1"/>
        <v>0</v>
      </c>
      <c r="Q565">
        <f ca="1"/>
        <v>0</v>
      </c>
      <c r="R565">
        <f ca="1"/>
        <v>0</v>
      </c>
      <c r="S565">
        <f ca="1"/>
        <v>0</v>
      </c>
      <c r="T565">
        <f ca="1"/>
        <v>0</v>
      </c>
      <c r="U565">
        <f ca="1"/>
        <v>0</v>
      </c>
      <c r="V565">
        <f ca="1"/>
        <v>0</v>
      </c>
      <c r="W565">
        <f ca="1"/>
        <v>0</v>
      </c>
      <c r="X565">
        <f ca="1"/>
        <v>0</v>
      </c>
      <c r="Y565">
        <f ca="1"/>
        <v>0</v>
      </c>
      <c r="Z565">
        <f ca="1"/>
        <v>0</v>
      </c>
      <c r="AA565">
        <f ca="1"/>
        <v>0</v>
      </c>
      <c r="AB565">
        <f ca="1"/>
        <v>0</v>
      </c>
      <c r="AC565">
        <f ca="1"/>
        <v>0</v>
      </c>
    </row>
    <row r="566" spans="15:29" x14ac:dyDescent="0.25">
      <c r="O566">
        <f ca="1"/>
        <v>0</v>
      </c>
      <c r="P566">
        <f ca="1"/>
        <v>0</v>
      </c>
      <c r="Q566">
        <f ca="1"/>
        <v>0</v>
      </c>
      <c r="R566">
        <f ca="1"/>
        <v>0</v>
      </c>
      <c r="S566">
        <f ca="1"/>
        <v>0</v>
      </c>
      <c r="T566">
        <f ca="1"/>
        <v>0</v>
      </c>
      <c r="U566">
        <f ca="1"/>
        <v>0</v>
      </c>
      <c r="V566">
        <f ca="1"/>
        <v>0</v>
      </c>
      <c r="W566">
        <f ca="1"/>
        <v>0</v>
      </c>
      <c r="X566">
        <f ca="1"/>
        <v>0</v>
      </c>
      <c r="Y566">
        <f ca="1"/>
        <v>0</v>
      </c>
      <c r="Z566">
        <f ca="1"/>
        <v>0</v>
      </c>
      <c r="AA566">
        <f ca="1"/>
        <v>0</v>
      </c>
      <c r="AB566">
        <f ca="1"/>
        <v>0</v>
      </c>
      <c r="AC566">
        <f ca="1"/>
        <v>0</v>
      </c>
    </row>
    <row r="567" spans="15:29" x14ac:dyDescent="0.25">
      <c r="O567">
        <f ca="1"/>
        <v>0</v>
      </c>
      <c r="P567">
        <f ca="1"/>
        <v>0</v>
      </c>
      <c r="Q567">
        <f ca="1"/>
        <v>0</v>
      </c>
      <c r="R567">
        <f ca="1"/>
        <v>0</v>
      </c>
      <c r="S567">
        <f ca="1"/>
        <v>0</v>
      </c>
      <c r="T567">
        <f ca="1"/>
        <v>0</v>
      </c>
      <c r="U567">
        <f ca="1"/>
        <v>0</v>
      </c>
      <c r="V567">
        <f ca="1"/>
        <v>0</v>
      </c>
      <c r="W567">
        <f ca="1"/>
        <v>0</v>
      </c>
      <c r="X567">
        <f ca="1"/>
        <v>0</v>
      </c>
      <c r="Y567">
        <f ca="1"/>
        <v>0</v>
      </c>
      <c r="Z567">
        <f ca="1"/>
        <v>0</v>
      </c>
      <c r="AA567">
        <f ca="1"/>
        <v>0</v>
      </c>
      <c r="AB567">
        <f ca="1"/>
        <v>0</v>
      </c>
      <c r="AC567">
        <f ca="1"/>
        <v>0</v>
      </c>
    </row>
    <row r="568" spans="15:29" x14ac:dyDescent="0.25">
      <c r="O568">
        <f ca="1"/>
        <v>0</v>
      </c>
      <c r="P568">
        <f ca="1"/>
        <v>0</v>
      </c>
      <c r="Q568">
        <f ca="1"/>
        <v>0</v>
      </c>
      <c r="R568">
        <f ca="1"/>
        <v>0</v>
      </c>
      <c r="S568">
        <f ca="1"/>
        <v>0</v>
      </c>
      <c r="T568">
        <f ca="1"/>
        <v>0</v>
      </c>
      <c r="U568">
        <f ca="1"/>
        <v>0</v>
      </c>
      <c r="V568">
        <f ca="1"/>
        <v>0</v>
      </c>
      <c r="W568">
        <f ca="1"/>
        <v>0</v>
      </c>
      <c r="X568">
        <f ca="1"/>
        <v>0</v>
      </c>
      <c r="Y568">
        <f ca="1"/>
        <v>0</v>
      </c>
      <c r="Z568">
        <f ca="1"/>
        <v>0</v>
      </c>
      <c r="AA568">
        <f ca="1"/>
        <v>0</v>
      </c>
      <c r="AB568">
        <f ca="1"/>
        <v>0</v>
      </c>
      <c r="AC568">
        <f ca="1"/>
        <v>0</v>
      </c>
    </row>
    <row r="569" spans="15:29" x14ac:dyDescent="0.25">
      <c r="O569">
        <f ca="1"/>
        <v>0</v>
      </c>
      <c r="P569">
        <f ca="1"/>
        <v>0</v>
      </c>
      <c r="Q569">
        <f ca="1"/>
        <v>0</v>
      </c>
      <c r="R569">
        <f ca="1"/>
        <v>0</v>
      </c>
      <c r="S569">
        <f ca="1"/>
        <v>0</v>
      </c>
      <c r="T569">
        <f ca="1"/>
        <v>0</v>
      </c>
      <c r="U569">
        <f ca="1"/>
        <v>0</v>
      </c>
      <c r="V569">
        <f ca="1"/>
        <v>0</v>
      </c>
      <c r="W569">
        <f ca="1"/>
        <v>0</v>
      </c>
      <c r="X569">
        <f ca="1"/>
        <v>0</v>
      </c>
      <c r="Y569">
        <f ca="1"/>
        <v>0</v>
      </c>
      <c r="Z569">
        <f ca="1"/>
        <v>0</v>
      </c>
      <c r="AA569">
        <f ca="1"/>
        <v>0</v>
      </c>
      <c r="AB569">
        <f ca="1"/>
        <v>0</v>
      </c>
      <c r="AC569">
        <f ca="1"/>
        <v>0</v>
      </c>
    </row>
    <row r="570" spans="15:29" x14ac:dyDescent="0.25">
      <c r="O570">
        <f ca="1"/>
        <v>0</v>
      </c>
      <c r="P570">
        <f ca="1"/>
        <v>0</v>
      </c>
      <c r="Q570">
        <f ca="1"/>
        <v>0</v>
      </c>
      <c r="R570">
        <f ca="1"/>
        <v>0</v>
      </c>
      <c r="S570">
        <f ca="1"/>
        <v>0</v>
      </c>
      <c r="T570">
        <f ca="1"/>
        <v>0</v>
      </c>
      <c r="U570">
        <f ca="1"/>
        <v>0</v>
      </c>
      <c r="V570">
        <f ca="1"/>
        <v>0</v>
      </c>
      <c r="W570">
        <f ca="1"/>
        <v>0</v>
      </c>
      <c r="X570">
        <f ca="1"/>
        <v>0</v>
      </c>
      <c r="Y570">
        <f ca="1"/>
        <v>0</v>
      </c>
      <c r="Z570">
        <f ca="1"/>
        <v>0</v>
      </c>
      <c r="AA570">
        <f ca="1"/>
        <v>0</v>
      </c>
      <c r="AB570">
        <f ca="1"/>
        <v>0</v>
      </c>
      <c r="AC570">
        <f ca="1"/>
        <v>0</v>
      </c>
    </row>
    <row r="571" spans="15:29" x14ac:dyDescent="0.25">
      <c r="O571">
        <f ca="1"/>
        <v>0</v>
      </c>
      <c r="P571">
        <f ca="1"/>
        <v>0</v>
      </c>
      <c r="Q571">
        <f ca="1"/>
        <v>0</v>
      </c>
      <c r="R571">
        <f ca="1"/>
        <v>0</v>
      </c>
      <c r="S571">
        <f ca="1"/>
        <v>0</v>
      </c>
      <c r="T571">
        <f ca="1"/>
        <v>0</v>
      </c>
      <c r="U571">
        <f ca="1"/>
        <v>0</v>
      </c>
      <c r="V571">
        <f ca="1"/>
        <v>0</v>
      </c>
      <c r="W571">
        <f ca="1"/>
        <v>0</v>
      </c>
      <c r="X571">
        <f ca="1"/>
        <v>0</v>
      </c>
      <c r="Y571">
        <f ca="1"/>
        <v>0</v>
      </c>
      <c r="Z571">
        <f ca="1"/>
        <v>0</v>
      </c>
      <c r="AA571">
        <f ca="1"/>
        <v>0</v>
      </c>
      <c r="AB571">
        <f ca="1"/>
        <v>0</v>
      </c>
      <c r="AC571">
        <f ca="1"/>
        <v>0</v>
      </c>
    </row>
    <row r="572" spans="15:29" x14ac:dyDescent="0.25">
      <c r="O572">
        <f ca="1"/>
        <v>0</v>
      </c>
      <c r="P572">
        <f ca="1"/>
        <v>0</v>
      </c>
      <c r="Q572">
        <f ca="1"/>
        <v>0</v>
      </c>
      <c r="R572">
        <f ca="1"/>
        <v>0</v>
      </c>
      <c r="S572">
        <f ca="1"/>
        <v>0</v>
      </c>
      <c r="T572">
        <f ca="1"/>
        <v>0</v>
      </c>
      <c r="U572">
        <f ca="1"/>
        <v>0</v>
      </c>
      <c r="V572">
        <f ca="1"/>
        <v>0</v>
      </c>
      <c r="W572">
        <f ca="1"/>
        <v>0</v>
      </c>
      <c r="X572">
        <f ca="1"/>
        <v>0</v>
      </c>
      <c r="Y572">
        <f ca="1"/>
        <v>0</v>
      </c>
      <c r="Z572">
        <f ca="1"/>
        <v>0</v>
      </c>
      <c r="AA572">
        <f ca="1"/>
        <v>0</v>
      </c>
      <c r="AB572">
        <f ca="1"/>
        <v>0</v>
      </c>
      <c r="AC572">
        <f ca="1"/>
        <v>0</v>
      </c>
    </row>
    <row r="573" spans="15:29" x14ac:dyDescent="0.25">
      <c r="O573">
        <f ca="1"/>
        <v>0</v>
      </c>
      <c r="P573">
        <f ca="1"/>
        <v>0</v>
      </c>
      <c r="Q573">
        <f ca="1"/>
        <v>0</v>
      </c>
      <c r="R573">
        <f ca="1"/>
        <v>0</v>
      </c>
      <c r="S573">
        <f ca="1"/>
        <v>0</v>
      </c>
      <c r="T573">
        <f ca="1"/>
        <v>0</v>
      </c>
      <c r="U573">
        <f ca="1"/>
        <v>0</v>
      </c>
      <c r="V573">
        <f ca="1"/>
        <v>0</v>
      </c>
      <c r="W573">
        <f ca="1"/>
        <v>0</v>
      </c>
      <c r="X573">
        <f ca="1"/>
        <v>0</v>
      </c>
      <c r="Y573">
        <f ca="1"/>
        <v>0</v>
      </c>
      <c r="Z573">
        <f ca="1"/>
        <v>0</v>
      </c>
      <c r="AA573">
        <f ca="1"/>
        <v>0</v>
      </c>
      <c r="AB573">
        <f ca="1"/>
        <v>0</v>
      </c>
      <c r="AC573">
        <f ca="1"/>
        <v>0</v>
      </c>
    </row>
    <row r="574" spans="15:29" x14ac:dyDescent="0.25">
      <c r="O574">
        <f ca="1"/>
        <v>0</v>
      </c>
      <c r="P574">
        <f ca="1"/>
        <v>0</v>
      </c>
      <c r="Q574">
        <f ca="1"/>
        <v>0</v>
      </c>
      <c r="R574">
        <f ca="1"/>
        <v>0</v>
      </c>
      <c r="S574">
        <f ca="1"/>
        <v>0</v>
      </c>
      <c r="T574">
        <f ca="1"/>
        <v>0</v>
      </c>
      <c r="U574">
        <f ca="1"/>
        <v>0</v>
      </c>
      <c r="V574">
        <f ca="1"/>
        <v>0</v>
      </c>
      <c r="W574">
        <f ca="1"/>
        <v>0</v>
      </c>
      <c r="X574">
        <f ca="1"/>
        <v>0</v>
      </c>
      <c r="Y574">
        <f ca="1"/>
        <v>0</v>
      </c>
      <c r="Z574">
        <f ca="1"/>
        <v>0</v>
      </c>
      <c r="AA574">
        <f ca="1"/>
        <v>0</v>
      </c>
      <c r="AB574">
        <f ca="1"/>
        <v>0</v>
      </c>
      <c r="AC574">
        <f ca="1"/>
        <v>0</v>
      </c>
    </row>
    <row r="575" spans="15:29" x14ac:dyDescent="0.25">
      <c r="O575">
        <f ca="1"/>
        <v>0</v>
      </c>
      <c r="P575">
        <f ca="1"/>
        <v>0</v>
      </c>
      <c r="Q575">
        <f ca="1"/>
        <v>0</v>
      </c>
      <c r="R575">
        <f ca="1"/>
        <v>0</v>
      </c>
      <c r="S575">
        <f ca="1"/>
        <v>0</v>
      </c>
      <c r="T575">
        <f ca="1"/>
        <v>0</v>
      </c>
      <c r="U575">
        <f ca="1"/>
        <v>0</v>
      </c>
      <c r="V575">
        <f ca="1"/>
        <v>0</v>
      </c>
      <c r="W575">
        <f ca="1"/>
        <v>0</v>
      </c>
      <c r="X575">
        <f ca="1"/>
        <v>0</v>
      </c>
      <c r="Y575">
        <f ca="1"/>
        <v>0</v>
      </c>
      <c r="Z575">
        <f ca="1"/>
        <v>0</v>
      </c>
      <c r="AA575">
        <f ca="1"/>
        <v>0</v>
      </c>
      <c r="AB575">
        <f ca="1"/>
        <v>0</v>
      </c>
      <c r="AC575">
        <f ca="1"/>
        <v>0</v>
      </c>
    </row>
    <row r="576" spans="15:29" x14ac:dyDescent="0.25">
      <c r="O576">
        <f ca="1"/>
        <v>0</v>
      </c>
      <c r="P576">
        <f ca="1"/>
        <v>0</v>
      </c>
      <c r="Q576">
        <f ca="1"/>
        <v>0</v>
      </c>
      <c r="R576">
        <f ca="1"/>
        <v>0</v>
      </c>
      <c r="S576">
        <f ca="1"/>
        <v>0</v>
      </c>
      <c r="T576">
        <f ca="1"/>
        <v>0</v>
      </c>
      <c r="U576">
        <f ca="1"/>
        <v>0</v>
      </c>
      <c r="V576">
        <f ca="1"/>
        <v>0</v>
      </c>
      <c r="W576">
        <f ca="1"/>
        <v>0</v>
      </c>
      <c r="X576">
        <f ca="1"/>
        <v>0</v>
      </c>
      <c r="Y576">
        <f ca="1"/>
        <v>0</v>
      </c>
      <c r="Z576">
        <f ca="1"/>
        <v>0</v>
      </c>
      <c r="AA576">
        <f ca="1"/>
        <v>0</v>
      </c>
      <c r="AB576">
        <f ca="1"/>
        <v>0</v>
      </c>
      <c r="AC576">
        <f ca="1"/>
        <v>0</v>
      </c>
    </row>
    <row r="577" spans="15:29" x14ac:dyDescent="0.25">
      <c r="O577">
        <f ca="1"/>
        <v>0</v>
      </c>
      <c r="P577">
        <f ca="1"/>
        <v>0</v>
      </c>
      <c r="Q577">
        <f ca="1"/>
        <v>0</v>
      </c>
      <c r="R577">
        <f ca="1"/>
        <v>0</v>
      </c>
      <c r="S577">
        <f ca="1"/>
        <v>0</v>
      </c>
      <c r="T577">
        <f ca="1"/>
        <v>0</v>
      </c>
      <c r="U577">
        <f ca="1"/>
        <v>0</v>
      </c>
      <c r="V577">
        <f ca="1"/>
        <v>0</v>
      </c>
      <c r="W577">
        <f ca="1"/>
        <v>0</v>
      </c>
      <c r="X577">
        <f ca="1"/>
        <v>0</v>
      </c>
      <c r="Y577">
        <f ca="1"/>
        <v>0</v>
      </c>
      <c r="Z577">
        <f ca="1"/>
        <v>0</v>
      </c>
      <c r="AA577">
        <f ca="1"/>
        <v>0</v>
      </c>
      <c r="AB577">
        <f ca="1"/>
        <v>0</v>
      </c>
      <c r="AC577">
        <f ca="1"/>
        <v>0</v>
      </c>
    </row>
    <row r="578" spans="15:29" x14ac:dyDescent="0.25">
      <c r="O578">
        <f ca="1"/>
        <v>0</v>
      </c>
      <c r="P578">
        <f ca="1"/>
        <v>0</v>
      </c>
      <c r="Q578">
        <f ca="1"/>
        <v>0</v>
      </c>
      <c r="R578">
        <f ca="1"/>
        <v>0</v>
      </c>
      <c r="S578">
        <f ca="1"/>
        <v>0</v>
      </c>
      <c r="T578">
        <f ca="1"/>
        <v>0</v>
      </c>
      <c r="U578">
        <f ca="1"/>
        <v>0</v>
      </c>
      <c r="V578">
        <f ca="1"/>
        <v>0</v>
      </c>
      <c r="W578">
        <f ca="1"/>
        <v>0</v>
      </c>
      <c r="X578">
        <f ca="1"/>
        <v>0</v>
      </c>
      <c r="Y578">
        <f ca="1"/>
        <v>0</v>
      </c>
      <c r="Z578">
        <f ca="1"/>
        <v>0</v>
      </c>
      <c r="AA578">
        <f ca="1"/>
        <v>0</v>
      </c>
      <c r="AB578">
        <f ca="1"/>
        <v>0</v>
      </c>
      <c r="AC578">
        <f ca="1"/>
        <v>0</v>
      </c>
    </row>
    <row r="579" spans="15:29" x14ac:dyDescent="0.25">
      <c r="O579">
        <f ca="1"/>
        <v>0</v>
      </c>
      <c r="P579">
        <f ca="1"/>
        <v>0</v>
      </c>
      <c r="Q579">
        <f ca="1"/>
        <v>0</v>
      </c>
      <c r="R579">
        <f ca="1"/>
        <v>0</v>
      </c>
      <c r="S579">
        <f ca="1"/>
        <v>0</v>
      </c>
      <c r="T579">
        <f ca="1"/>
        <v>0</v>
      </c>
      <c r="U579">
        <f ca="1"/>
        <v>0</v>
      </c>
      <c r="V579">
        <f ca="1"/>
        <v>0</v>
      </c>
      <c r="W579">
        <f ca="1"/>
        <v>0</v>
      </c>
      <c r="X579">
        <f ca="1"/>
        <v>0</v>
      </c>
      <c r="Y579">
        <f ca="1"/>
        <v>0</v>
      </c>
      <c r="Z579">
        <f ca="1"/>
        <v>0</v>
      </c>
      <c r="AA579">
        <f ca="1"/>
        <v>0</v>
      </c>
      <c r="AB579">
        <f ca="1"/>
        <v>0</v>
      </c>
      <c r="AC579">
        <f ca="1"/>
        <v>0</v>
      </c>
    </row>
    <row r="580" spans="15:29" x14ac:dyDescent="0.25">
      <c r="O580">
        <f ca="1"/>
        <v>0</v>
      </c>
      <c r="P580">
        <f ca="1"/>
        <v>0</v>
      </c>
      <c r="Q580">
        <f ca="1"/>
        <v>0</v>
      </c>
      <c r="R580">
        <f ca="1"/>
        <v>0</v>
      </c>
      <c r="S580">
        <f ca="1"/>
        <v>0</v>
      </c>
      <c r="T580">
        <f ca="1"/>
        <v>0</v>
      </c>
      <c r="U580">
        <f ca="1"/>
        <v>0</v>
      </c>
      <c r="V580">
        <f ca="1"/>
        <v>0</v>
      </c>
      <c r="W580">
        <f ca="1"/>
        <v>0</v>
      </c>
      <c r="X580">
        <f ca="1"/>
        <v>0</v>
      </c>
      <c r="Y580">
        <f ca="1"/>
        <v>0</v>
      </c>
      <c r="Z580">
        <f ca="1"/>
        <v>0</v>
      </c>
      <c r="AA580">
        <f ca="1"/>
        <v>0</v>
      </c>
      <c r="AB580">
        <f ca="1"/>
        <v>0</v>
      </c>
      <c r="AC580">
        <f ca="1"/>
        <v>0</v>
      </c>
    </row>
    <row r="581" spans="15:29" x14ac:dyDescent="0.25">
      <c r="O581">
        <f ca="1"/>
        <v>0</v>
      </c>
      <c r="P581">
        <f ca="1"/>
        <v>0</v>
      </c>
      <c r="Q581">
        <f ca="1"/>
        <v>0</v>
      </c>
      <c r="R581">
        <f ca="1"/>
        <v>0</v>
      </c>
      <c r="S581">
        <f ca="1"/>
        <v>0</v>
      </c>
      <c r="T581">
        <f ca="1"/>
        <v>0</v>
      </c>
      <c r="U581">
        <f ca="1"/>
        <v>0</v>
      </c>
      <c r="V581">
        <f ca="1"/>
        <v>0</v>
      </c>
      <c r="W581">
        <f ca="1"/>
        <v>0</v>
      </c>
      <c r="X581">
        <f ca="1"/>
        <v>0</v>
      </c>
      <c r="Y581">
        <f ca="1"/>
        <v>0</v>
      </c>
      <c r="Z581">
        <f ca="1"/>
        <v>0</v>
      </c>
      <c r="AA581">
        <f ca="1"/>
        <v>0</v>
      </c>
      <c r="AB581">
        <f ca="1"/>
        <v>0</v>
      </c>
      <c r="AC581">
        <f ca="1"/>
        <v>0</v>
      </c>
    </row>
    <row r="582" spans="15:29" x14ac:dyDescent="0.25">
      <c r="O582">
        <f ca="1"/>
        <v>0</v>
      </c>
      <c r="P582">
        <f ca="1"/>
        <v>0</v>
      </c>
      <c r="Q582">
        <f ca="1"/>
        <v>0</v>
      </c>
      <c r="R582">
        <f ca="1"/>
        <v>0</v>
      </c>
      <c r="S582">
        <f ca="1"/>
        <v>0</v>
      </c>
      <c r="T582">
        <f ca="1"/>
        <v>0</v>
      </c>
      <c r="U582">
        <f ca="1"/>
        <v>0</v>
      </c>
      <c r="V582">
        <f ca="1"/>
        <v>0</v>
      </c>
      <c r="W582">
        <f ca="1"/>
        <v>0</v>
      </c>
      <c r="X582">
        <f ca="1"/>
        <v>0</v>
      </c>
      <c r="Y582">
        <f ca="1"/>
        <v>0</v>
      </c>
      <c r="Z582">
        <f ca="1"/>
        <v>0</v>
      </c>
      <c r="AA582">
        <f ca="1"/>
        <v>0</v>
      </c>
      <c r="AB582">
        <f ca="1"/>
        <v>0</v>
      </c>
      <c r="AC582">
        <f ca="1"/>
        <v>0</v>
      </c>
    </row>
    <row r="583" spans="15:29" x14ac:dyDescent="0.25">
      <c r="O583">
        <f ca="1"/>
        <v>0</v>
      </c>
      <c r="P583">
        <f ca="1"/>
        <v>0</v>
      </c>
      <c r="Q583">
        <f ca="1"/>
        <v>0</v>
      </c>
      <c r="R583">
        <f ca="1"/>
        <v>0</v>
      </c>
      <c r="S583">
        <f ca="1"/>
        <v>0</v>
      </c>
      <c r="T583">
        <f ca="1"/>
        <v>0</v>
      </c>
      <c r="U583">
        <f ca="1"/>
        <v>0</v>
      </c>
      <c r="V583">
        <f ca="1"/>
        <v>0</v>
      </c>
      <c r="W583">
        <f ca="1"/>
        <v>0</v>
      </c>
      <c r="X583">
        <f ca="1"/>
        <v>0</v>
      </c>
      <c r="Y583">
        <f ca="1"/>
        <v>0</v>
      </c>
      <c r="Z583">
        <f ca="1"/>
        <v>0</v>
      </c>
      <c r="AA583">
        <f ca="1"/>
        <v>0</v>
      </c>
      <c r="AB583">
        <f ca="1"/>
        <v>0</v>
      </c>
      <c r="AC583">
        <f ca="1"/>
        <v>0</v>
      </c>
    </row>
    <row r="584" spans="15:29" x14ac:dyDescent="0.25">
      <c r="O584">
        <f ca="1"/>
        <v>0</v>
      </c>
      <c r="P584">
        <f ca="1"/>
        <v>0</v>
      </c>
      <c r="Q584">
        <f ca="1"/>
        <v>0</v>
      </c>
      <c r="R584">
        <f ca="1"/>
        <v>0</v>
      </c>
      <c r="S584">
        <f ca="1"/>
        <v>0</v>
      </c>
      <c r="T584">
        <f ca="1"/>
        <v>0</v>
      </c>
      <c r="U584">
        <f ca="1"/>
        <v>0</v>
      </c>
      <c r="V584">
        <f ca="1"/>
        <v>0</v>
      </c>
      <c r="W584">
        <f ca="1"/>
        <v>0</v>
      </c>
      <c r="X584">
        <f ca="1"/>
        <v>0</v>
      </c>
      <c r="Y584">
        <f ca="1"/>
        <v>0</v>
      </c>
      <c r="Z584">
        <f ca="1"/>
        <v>0</v>
      </c>
      <c r="AA584">
        <f ca="1"/>
        <v>0</v>
      </c>
      <c r="AB584">
        <f ca="1"/>
        <v>0</v>
      </c>
      <c r="AC584">
        <f ca="1"/>
        <v>0</v>
      </c>
    </row>
    <row r="585" spans="15:29" x14ac:dyDescent="0.25">
      <c r="O585">
        <f ca="1"/>
        <v>0</v>
      </c>
      <c r="P585">
        <f ca="1"/>
        <v>0</v>
      </c>
      <c r="Q585">
        <f ca="1"/>
        <v>0</v>
      </c>
      <c r="R585">
        <f ca="1"/>
        <v>0</v>
      </c>
      <c r="S585">
        <f ca="1"/>
        <v>0</v>
      </c>
      <c r="T585">
        <f ca="1"/>
        <v>0</v>
      </c>
      <c r="U585">
        <f ca="1"/>
        <v>0</v>
      </c>
      <c r="V585">
        <f ca="1"/>
        <v>0</v>
      </c>
      <c r="W585">
        <f ca="1"/>
        <v>0</v>
      </c>
      <c r="X585">
        <f ca="1"/>
        <v>0</v>
      </c>
      <c r="Y585">
        <f ca="1"/>
        <v>0</v>
      </c>
      <c r="Z585">
        <f ca="1"/>
        <v>0</v>
      </c>
      <c r="AA585">
        <f ca="1"/>
        <v>0</v>
      </c>
      <c r="AB585">
        <f ca="1"/>
        <v>0</v>
      </c>
      <c r="AC585">
        <f ca="1"/>
        <v>0</v>
      </c>
    </row>
    <row r="586" spans="15:29" x14ac:dyDescent="0.25">
      <c r="O586">
        <f ca="1"/>
        <v>0</v>
      </c>
      <c r="P586">
        <f ca="1"/>
        <v>0</v>
      </c>
      <c r="Q586">
        <f ca="1"/>
        <v>0</v>
      </c>
      <c r="R586">
        <f ca="1"/>
        <v>0</v>
      </c>
      <c r="S586">
        <f ca="1"/>
        <v>0</v>
      </c>
      <c r="T586">
        <f ca="1"/>
        <v>0</v>
      </c>
      <c r="U586">
        <f ca="1"/>
        <v>0</v>
      </c>
      <c r="V586">
        <f ca="1"/>
        <v>0</v>
      </c>
      <c r="W586">
        <f ca="1"/>
        <v>0</v>
      </c>
      <c r="X586">
        <f ca="1"/>
        <v>0</v>
      </c>
      <c r="Y586">
        <f ca="1"/>
        <v>0</v>
      </c>
      <c r="Z586">
        <f ca="1"/>
        <v>0</v>
      </c>
      <c r="AA586">
        <f ca="1"/>
        <v>0</v>
      </c>
      <c r="AB586">
        <f ca="1"/>
        <v>0</v>
      </c>
      <c r="AC586">
        <f ca="1"/>
        <v>0</v>
      </c>
    </row>
    <row r="587" spans="15:29" x14ac:dyDescent="0.25">
      <c r="O587">
        <f ca="1"/>
        <v>0</v>
      </c>
      <c r="P587">
        <f ca="1"/>
        <v>0</v>
      </c>
      <c r="Q587">
        <f ca="1"/>
        <v>0</v>
      </c>
      <c r="R587">
        <f ca="1"/>
        <v>0</v>
      </c>
      <c r="S587">
        <f ca="1"/>
        <v>0</v>
      </c>
      <c r="T587">
        <f ca="1"/>
        <v>0</v>
      </c>
      <c r="U587">
        <f ca="1"/>
        <v>0</v>
      </c>
      <c r="V587">
        <f ca="1"/>
        <v>0</v>
      </c>
      <c r="W587">
        <f ca="1"/>
        <v>0</v>
      </c>
      <c r="X587">
        <f ca="1"/>
        <v>0</v>
      </c>
      <c r="Y587">
        <f ca="1"/>
        <v>0</v>
      </c>
      <c r="Z587">
        <f ca="1"/>
        <v>0</v>
      </c>
      <c r="AA587">
        <f ca="1"/>
        <v>0</v>
      </c>
      <c r="AB587">
        <f ca="1"/>
        <v>0</v>
      </c>
      <c r="AC587">
        <f ca="1"/>
        <v>0</v>
      </c>
    </row>
    <row r="588" spans="15:29" x14ac:dyDescent="0.25">
      <c r="O588">
        <f ca="1"/>
        <v>0</v>
      </c>
      <c r="P588">
        <f ca="1"/>
        <v>0</v>
      </c>
      <c r="Q588">
        <f ca="1"/>
        <v>0</v>
      </c>
      <c r="R588">
        <f ca="1"/>
        <v>0</v>
      </c>
      <c r="S588">
        <f ca="1"/>
        <v>0</v>
      </c>
      <c r="T588">
        <f ca="1"/>
        <v>0</v>
      </c>
      <c r="U588">
        <f ca="1"/>
        <v>0</v>
      </c>
      <c r="V588">
        <f ca="1"/>
        <v>0</v>
      </c>
      <c r="W588">
        <f ca="1"/>
        <v>0</v>
      </c>
      <c r="X588">
        <f ca="1"/>
        <v>0</v>
      </c>
      <c r="Y588">
        <f ca="1"/>
        <v>0</v>
      </c>
      <c r="Z588">
        <f ca="1"/>
        <v>0</v>
      </c>
      <c r="AA588">
        <f ca="1"/>
        <v>0</v>
      </c>
      <c r="AB588">
        <f ca="1"/>
        <v>0</v>
      </c>
      <c r="AC588">
        <f ca="1"/>
        <v>0</v>
      </c>
    </row>
    <row r="589" spans="15:29" x14ac:dyDescent="0.25">
      <c r="O589">
        <f ca="1"/>
        <v>0</v>
      </c>
      <c r="P589">
        <f ca="1"/>
        <v>0</v>
      </c>
      <c r="Q589">
        <f ca="1"/>
        <v>0</v>
      </c>
      <c r="R589">
        <f ca="1"/>
        <v>0</v>
      </c>
      <c r="S589">
        <f ca="1"/>
        <v>0</v>
      </c>
      <c r="T589">
        <f ca="1"/>
        <v>0</v>
      </c>
      <c r="U589">
        <f ca="1"/>
        <v>0</v>
      </c>
      <c r="V589">
        <f ca="1"/>
        <v>0</v>
      </c>
      <c r="W589">
        <f ca="1"/>
        <v>0</v>
      </c>
      <c r="X589">
        <f ca="1"/>
        <v>0</v>
      </c>
      <c r="Y589">
        <f ca="1"/>
        <v>0</v>
      </c>
      <c r="Z589">
        <f ca="1"/>
        <v>0</v>
      </c>
      <c r="AA589">
        <f ca="1"/>
        <v>0</v>
      </c>
      <c r="AB589">
        <f ca="1"/>
        <v>0</v>
      </c>
      <c r="AC589">
        <f ca="1"/>
        <v>0</v>
      </c>
    </row>
    <row r="590" spans="15:29" x14ac:dyDescent="0.25">
      <c r="O590">
        <f ca="1"/>
        <v>0</v>
      </c>
      <c r="P590">
        <f ca="1"/>
        <v>0</v>
      </c>
      <c r="Q590">
        <f ca="1"/>
        <v>0</v>
      </c>
      <c r="R590">
        <f ca="1"/>
        <v>0</v>
      </c>
      <c r="S590">
        <f ca="1"/>
        <v>0</v>
      </c>
      <c r="T590">
        <f ca="1"/>
        <v>0</v>
      </c>
      <c r="U590">
        <f ca="1"/>
        <v>0</v>
      </c>
      <c r="V590">
        <f ca="1"/>
        <v>0</v>
      </c>
      <c r="W590">
        <f ca="1"/>
        <v>0</v>
      </c>
      <c r="X590">
        <f ca="1"/>
        <v>0</v>
      </c>
      <c r="Y590">
        <f ca="1"/>
        <v>0</v>
      </c>
      <c r="Z590">
        <f ca="1"/>
        <v>0</v>
      </c>
      <c r="AA590">
        <f ca="1"/>
        <v>0</v>
      </c>
      <c r="AB590">
        <f ca="1"/>
        <v>0</v>
      </c>
      <c r="AC590">
        <f ca="1"/>
        <v>0</v>
      </c>
    </row>
    <row r="591" spans="15:29" x14ac:dyDescent="0.25">
      <c r="O591">
        <f ca="1"/>
        <v>0</v>
      </c>
      <c r="P591">
        <f ca="1"/>
        <v>0</v>
      </c>
      <c r="Q591">
        <f ca="1"/>
        <v>0</v>
      </c>
      <c r="R591">
        <f ca="1"/>
        <v>0</v>
      </c>
      <c r="S591">
        <f ca="1"/>
        <v>0</v>
      </c>
      <c r="T591">
        <f ca="1"/>
        <v>0</v>
      </c>
      <c r="U591">
        <f ca="1"/>
        <v>0</v>
      </c>
      <c r="V591">
        <f ca="1"/>
        <v>0</v>
      </c>
      <c r="W591">
        <f ca="1"/>
        <v>0</v>
      </c>
      <c r="X591">
        <f ca="1"/>
        <v>0</v>
      </c>
      <c r="Y591">
        <f ca="1"/>
        <v>0</v>
      </c>
      <c r="Z591">
        <f ca="1"/>
        <v>0</v>
      </c>
      <c r="AA591">
        <f ca="1"/>
        <v>0</v>
      </c>
      <c r="AB591">
        <f ca="1"/>
        <v>0</v>
      </c>
      <c r="AC591">
        <f ca="1"/>
        <v>0</v>
      </c>
    </row>
    <row r="592" spans="15:29" x14ac:dyDescent="0.25">
      <c r="O592">
        <f ca="1"/>
        <v>0</v>
      </c>
      <c r="P592">
        <f ca="1"/>
        <v>0</v>
      </c>
      <c r="Q592">
        <f ca="1"/>
        <v>0</v>
      </c>
      <c r="R592">
        <f ca="1"/>
        <v>0</v>
      </c>
      <c r="S592">
        <f ca="1"/>
        <v>0</v>
      </c>
      <c r="T592">
        <f ca="1"/>
        <v>0</v>
      </c>
      <c r="U592">
        <f ca="1"/>
        <v>0</v>
      </c>
      <c r="V592">
        <f ca="1"/>
        <v>0</v>
      </c>
      <c r="W592">
        <f ca="1"/>
        <v>0</v>
      </c>
      <c r="X592">
        <f ca="1"/>
        <v>0</v>
      </c>
      <c r="Y592">
        <f ca="1"/>
        <v>0</v>
      </c>
      <c r="Z592">
        <f ca="1"/>
        <v>0</v>
      </c>
      <c r="AA592">
        <f ca="1"/>
        <v>0</v>
      </c>
      <c r="AB592">
        <f ca="1"/>
        <v>0</v>
      </c>
      <c r="AC592">
        <f ca="1"/>
        <v>0</v>
      </c>
    </row>
    <row r="593" spans="15:29" x14ac:dyDescent="0.25">
      <c r="O593">
        <f ca="1"/>
        <v>0</v>
      </c>
      <c r="P593">
        <f ca="1"/>
        <v>0</v>
      </c>
      <c r="Q593">
        <f ca="1"/>
        <v>0</v>
      </c>
      <c r="R593">
        <f ca="1"/>
        <v>0</v>
      </c>
      <c r="S593">
        <f ca="1"/>
        <v>0</v>
      </c>
      <c r="T593">
        <f ca="1"/>
        <v>0</v>
      </c>
      <c r="U593">
        <f ca="1"/>
        <v>0</v>
      </c>
      <c r="V593">
        <f ca="1"/>
        <v>0</v>
      </c>
      <c r="W593">
        <f ca="1"/>
        <v>0</v>
      </c>
      <c r="X593">
        <f ca="1"/>
        <v>0</v>
      </c>
      <c r="Y593">
        <f ca="1"/>
        <v>0</v>
      </c>
      <c r="Z593">
        <f ca="1"/>
        <v>0</v>
      </c>
      <c r="AA593">
        <f ca="1"/>
        <v>0</v>
      </c>
      <c r="AB593">
        <f ca="1"/>
        <v>0</v>
      </c>
      <c r="AC593">
        <f ca="1"/>
        <v>0</v>
      </c>
    </row>
    <row r="594" spans="15:29" x14ac:dyDescent="0.25">
      <c r="O594">
        <f ca="1"/>
        <v>0</v>
      </c>
      <c r="P594">
        <f ca="1"/>
        <v>0</v>
      </c>
      <c r="Q594">
        <f ca="1"/>
        <v>0</v>
      </c>
      <c r="R594">
        <f ca="1"/>
        <v>0</v>
      </c>
      <c r="S594">
        <f ca="1"/>
        <v>0</v>
      </c>
      <c r="T594">
        <f ca="1"/>
        <v>0</v>
      </c>
      <c r="U594">
        <f ca="1"/>
        <v>0</v>
      </c>
      <c r="V594">
        <f ca="1"/>
        <v>0</v>
      </c>
      <c r="W594">
        <f ca="1"/>
        <v>0</v>
      </c>
      <c r="X594">
        <f ca="1"/>
        <v>0</v>
      </c>
      <c r="Y594">
        <f ca="1"/>
        <v>0</v>
      </c>
      <c r="Z594">
        <f ca="1"/>
        <v>0</v>
      </c>
      <c r="AA594">
        <f ca="1"/>
        <v>0</v>
      </c>
      <c r="AB594">
        <f ca="1"/>
        <v>0</v>
      </c>
      <c r="AC594">
        <f ca="1"/>
        <v>0</v>
      </c>
    </row>
    <row r="595" spans="15:29" x14ac:dyDescent="0.25">
      <c r="O595">
        <f ca="1"/>
        <v>0</v>
      </c>
      <c r="P595">
        <f ca="1"/>
        <v>0</v>
      </c>
      <c r="Q595">
        <f ca="1"/>
        <v>0</v>
      </c>
      <c r="R595">
        <f ca="1"/>
        <v>0</v>
      </c>
      <c r="S595">
        <f ca="1"/>
        <v>0</v>
      </c>
      <c r="T595">
        <f ca="1"/>
        <v>0</v>
      </c>
      <c r="U595">
        <f ca="1"/>
        <v>0</v>
      </c>
      <c r="V595">
        <f ca="1"/>
        <v>0</v>
      </c>
      <c r="W595">
        <f ca="1"/>
        <v>0</v>
      </c>
      <c r="X595">
        <f ca="1"/>
        <v>0</v>
      </c>
      <c r="Y595">
        <f ca="1"/>
        <v>0</v>
      </c>
      <c r="Z595">
        <f ca="1"/>
        <v>0</v>
      </c>
      <c r="AA595">
        <f ca="1"/>
        <v>0</v>
      </c>
      <c r="AB595">
        <f ca="1"/>
        <v>0</v>
      </c>
      <c r="AC595">
        <f ca="1"/>
        <v>0</v>
      </c>
    </row>
  </sheetData>
  <autoFilter ref="A1:AC595" xr:uid="{00000000-0001-0000-0000-000000000000}"/>
  <sortState xmlns:xlrd2="http://schemas.microsoft.com/office/spreadsheetml/2017/richdata2" ref="A4:K303">
    <sortCondition ref="B4:B303"/>
  </sortState>
  <mergeCells count="1">
    <mergeCell ref="A2:J2"/>
  </mergeCells>
  <conditionalFormatting sqref="F4:F304">
    <cfRule type="cellIs" dxfId="7" priority="8" operator="greaterThan">
      <formula>90000</formula>
    </cfRule>
  </conditionalFormatting>
  <conditionalFormatting sqref="H4:H303">
    <cfRule type="cellIs" dxfId="6" priority="3" operator="lessThan">
      <formula>90</formula>
    </cfRule>
    <cfRule type="cellIs" dxfId="5" priority="4" operator="lessThan">
      <formula>90</formula>
    </cfRule>
    <cfRule type="cellIs" dxfId="4" priority="6" operator="lessThan">
      <formula>90</formula>
    </cfRule>
  </conditionalFormatting>
  <conditionalFormatting sqref="H4:H306">
    <cfRule type="cellIs" dxfId="3" priority="7" operator="lessThan">
      <formula>0.9</formula>
    </cfRule>
  </conditionalFormatting>
  <conditionalFormatting sqref="J4:J303">
    <cfRule type="containsText" dxfId="2" priority="1" operator="containsText" text="good">
      <formula>NOT(ISERROR(SEARCH("good",J4)))</formula>
    </cfRule>
    <cfRule type="containsText" dxfId="1" priority="5" operator="containsText" text="Excellent">
      <formula>NOT(ISERROR(SEARCH("Excellent",J4)))</formula>
    </cfRule>
  </conditionalFormatting>
  <conditionalFormatting sqref="O3">
    <cfRule type="containsText" dxfId="0" priority="2" operator="containsText" text="good">
      <formula>NOT(ISERROR(SEARCH("good",O3)))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C188-0122-49C8-9272-A7C910E4E5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 stat</cp:lastModifiedBy>
  <dcterms:created xsi:type="dcterms:W3CDTF">2026-08-02T12:57:38Z</dcterms:created>
  <dcterms:modified xsi:type="dcterms:W3CDTF">2026-08-19T04:31:33Z</dcterms:modified>
</cp:coreProperties>
</file>